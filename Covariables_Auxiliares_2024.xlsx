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 Caicedo Ruiz\Desktop\Maestría Ciencia de Datos\Trabajo de Grado\BD Auxiliares\"/>
    </mc:Choice>
  </mc:AlternateContent>
  <xr:revisionPtr revIDLastSave="0" documentId="13_ncr:1_{B7757F7B-C363-42D6-AA83-4CF4868BA2EC}" xr6:coauthVersionLast="47" xr6:coauthVersionMax="47" xr10:uidLastSave="{00000000-0000-0000-0000-000000000000}"/>
  <bookViews>
    <workbookView xWindow="-120" yWindow="-120" windowWidth="20730" windowHeight="11040" xr2:uid="{CEEE02DF-C32B-4FA0-B79E-0392D7B5ACA5}"/>
  </bookViews>
  <sheets>
    <sheet name="BD" sheetId="1" r:id="rId1"/>
    <sheet name="Diccionario" sheetId="2" r:id="rId2"/>
    <sheet name="Hoja1" sheetId="3" r:id="rId3"/>
  </sheets>
  <definedNames>
    <definedName name="_xlnm._FilterDatabase" localSheetId="0" hidden="1">BD!$A$1:$AC$1123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61" i="1" l="1"/>
  <c r="V871" i="1"/>
  <c r="V873" i="1"/>
  <c r="V883" i="1"/>
  <c r="V885" i="1"/>
  <c r="V895" i="1"/>
  <c r="V897" i="1"/>
  <c r="V907" i="1"/>
  <c r="V909" i="1"/>
  <c r="V919" i="1"/>
  <c r="V921" i="1"/>
  <c r="V931" i="1"/>
  <c r="V933" i="1"/>
  <c r="V945" i="1"/>
  <c r="V946" i="1"/>
  <c r="V951" i="1"/>
  <c r="V957" i="1"/>
  <c r="V958" i="1"/>
  <c r="V961" i="1"/>
  <c r="V963" i="1"/>
  <c r="V969" i="1"/>
  <c r="V970" i="1"/>
  <c r="V981" i="1"/>
  <c r="V982" i="1"/>
  <c r="V986" i="1"/>
  <c r="V987" i="1"/>
  <c r="V991" i="1"/>
  <c r="V992" i="1"/>
  <c r="V993" i="1"/>
  <c r="V994" i="1"/>
  <c r="V998" i="1"/>
  <c r="V999" i="1"/>
  <c r="V1003" i="1"/>
  <c r="V1004" i="1"/>
  <c r="V1005" i="1"/>
  <c r="V1006" i="1"/>
  <c r="V1008" i="1"/>
  <c r="V1011" i="1"/>
  <c r="V1016" i="1"/>
  <c r="V1017" i="1"/>
  <c r="V1018" i="1"/>
  <c r="V1023" i="1"/>
  <c r="V1028" i="1"/>
  <c r="V1029" i="1"/>
  <c r="V1030" i="1"/>
  <c r="V1035" i="1"/>
  <c r="V1040" i="1"/>
  <c r="V1041" i="1"/>
  <c r="V1042" i="1"/>
  <c r="V1046" i="1"/>
  <c r="V1047" i="1"/>
  <c r="V1051" i="1"/>
  <c r="V1056" i="1"/>
  <c r="V1069" i="1"/>
  <c r="V1071" i="1"/>
  <c r="V1076" i="1"/>
  <c r="V1077" i="1"/>
  <c r="V1078" i="1"/>
  <c r="V1080" i="1"/>
  <c r="V1081" i="1"/>
  <c r="V1087" i="1"/>
  <c r="V1088" i="1"/>
  <c r="V1089" i="1"/>
  <c r="V1094" i="1"/>
  <c r="V1095" i="1"/>
  <c r="V1098" i="1"/>
  <c r="V1099" i="1"/>
  <c r="V1101" i="1"/>
  <c r="V1105" i="1"/>
  <c r="V1106" i="1"/>
  <c r="V1107" i="1"/>
  <c r="V1113" i="1"/>
  <c r="V1114" i="1"/>
  <c r="V1117" i="1"/>
  <c r="V1118" i="1"/>
  <c r="V1119" i="1"/>
  <c r="V2" i="1"/>
  <c r="V1093" i="1"/>
  <c r="V1091" i="1"/>
  <c r="V1096" i="1"/>
  <c r="V1100" i="1"/>
  <c r="V109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20" i="1"/>
  <c r="V19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6" i="1"/>
  <c r="V75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050" i="1"/>
  <c r="V1052" i="1"/>
  <c r="V1053" i="1"/>
  <c r="V1054" i="1"/>
  <c r="V1055" i="1"/>
  <c r="V128" i="1"/>
  <c r="V127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2" i="1"/>
  <c r="V153" i="1"/>
  <c r="V154" i="1"/>
  <c r="V155" i="1"/>
  <c r="V156" i="1"/>
  <c r="V157" i="1"/>
  <c r="V158" i="1"/>
  <c r="V159" i="1"/>
  <c r="V151" i="1"/>
  <c r="V160" i="1"/>
  <c r="V162" i="1"/>
  <c r="V161" i="1"/>
  <c r="V163" i="1"/>
  <c r="V164" i="1"/>
  <c r="V165" i="1"/>
  <c r="V166" i="1"/>
  <c r="V167" i="1"/>
  <c r="V168" i="1"/>
  <c r="V169" i="1"/>
  <c r="V170" i="1"/>
  <c r="V172" i="1"/>
  <c r="V171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26" i="1"/>
  <c r="V214" i="1"/>
  <c r="V215" i="1"/>
  <c r="V216" i="1"/>
  <c r="V217" i="1"/>
  <c r="V227" i="1"/>
  <c r="V218" i="1"/>
  <c r="V219" i="1"/>
  <c r="V220" i="1"/>
  <c r="V221" i="1"/>
  <c r="V222" i="1"/>
  <c r="V223" i="1"/>
  <c r="V224" i="1"/>
  <c r="V225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4" i="1"/>
  <c r="V246" i="1"/>
  <c r="V245" i="1"/>
  <c r="V243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5" i="1"/>
  <c r="V286" i="1"/>
  <c r="V287" i="1"/>
  <c r="V284" i="1"/>
  <c r="V288" i="1"/>
  <c r="V289" i="1"/>
  <c r="V290" i="1"/>
  <c r="V291" i="1"/>
  <c r="V293" i="1"/>
  <c r="V292" i="1"/>
  <c r="V294" i="1"/>
  <c r="V295" i="1"/>
  <c r="V296" i="1"/>
  <c r="V298" i="1"/>
  <c r="V297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197" i="1"/>
  <c r="V312" i="1"/>
  <c r="V313" i="1"/>
  <c r="V314" i="1"/>
  <c r="V315" i="1"/>
  <c r="V316" i="1"/>
  <c r="V317" i="1"/>
  <c r="V247" i="1"/>
  <c r="V318" i="1"/>
  <c r="V319" i="1"/>
  <c r="V321" i="1"/>
  <c r="V322" i="1"/>
  <c r="V323" i="1"/>
  <c r="V324" i="1"/>
  <c r="V325" i="1"/>
  <c r="V326" i="1"/>
  <c r="V327" i="1"/>
  <c r="V328" i="1"/>
  <c r="V320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8" i="1"/>
  <c r="V349" i="1"/>
  <c r="V350" i="1"/>
  <c r="V351" i="1"/>
  <c r="V352" i="1"/>
  <c r="V353" i="1"/>
  <c r="V347" i="1"/>
  <c r="V354" i="1"/>
  <c r="V355" i="1"/>
  <c r="V356" i="1"/>
  <c r="V357" i="1"/>
  <c r="V358" i="1"/>
  <c r="V359" i="1"/>
  <c r="V360" i="1"/>
  <c r="V361" i="1"/>
  <c r="V362" i="1"/>
  <c r="V1058" i="1"/>
  <c r="V1059" i="1"/>
  <c r="V1060" i="1"/>
  <c r="V1061" i="1"/>
  <c r="V1062" i="1"/>
  <c r="V1063" i="1"/>
  <c r="V1064" i="1"/>
  <c r="V1065" i="1"/>
  <c r="V1066" i="1"/>
  <c r="V1067" i="1"/>
  <c r="V1068" i="1"/>
  <c r="V1070" i="1"/>
  <c r="V1072" i="1"/>
  <c r="V1073" i="1"/>
  <c r="V1074" i="1"/>
  <c r="V1075" i="1"/>
  <c r="V1057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63" i="1"/>
  <c r="V390" i="1"/>
  <c r="V391" i="1"/>
  <c r="V392" i="1"/>
  <c r="V393" i="1"/>
  <c r="V395" i="1"/>
  <c r="V394" i="1"/>
  <c r="V396" i="1"/>
  <c r="V397" i="1"/>
  <c r="V398" i="1"/>
  <c r="V399" i="1"/>
  <c r="V400" i="1"/>
  <c r="V401" i="1"/>
  <c r="V402" i="1"/>
  <c r="V403" i="1"/>
  <c r="V404" i="1"/>
  <c r="V406" i="1"/>
  <c r="V408" i="1"/>
  <c r="V409" i="1"/>
  <c r="V410" i="1"/>
  <c r="V411" i="1"/>
  <c r="V412" i="1"/>
  <c r="V407" i="1"/>
  <c r="V413" i="1"/>
  <c r="V414" i="1"/>
  <c r="V415" i="1"/>
  <c r="V416" i="1"/>
  <c r="V417" i="1"/>
  <c r="V418" i="1"/>
  <c r="V419" i="1"/>
  <c r="V425" i="1"/>
  <c r="V420" i="1"/>
  <c r="V421" i="1"/>
  <c r="V422" i="1"/>
  <c r="V423" i="1"/>
  <c r="V424" i="1"/>
  <c r="V426" i="1"/>
  <c r="V427" i="1"/>
  <c r="V428" i="1"/>
  <c r="V429" i="1"/>
  <c r="V405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76" i="1"/>
  <c r="V599" i="1"/>
  <c r="V600" i="1"/>
  <c r="V601" i="1"/>
  <c r="V602" i="1"/>
  <c r="V603" i="1"/>
  <c r="V604" i="1"/>
  <c r="V605" i="1"/>
  <c r="V606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4" i="1"/>
  <c r="V443" i="1"/>
  <c r="V430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534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4" i="1"/>
  <c r="V525" i="1"/>
  <c r="V526" i="1"/>
  <c r="V527" i="1"/>
  <c r="V528" i="1"/>
  <c r="V529" i="1"/>
  <c r="V530" i="1"/>
  <c r="V531" i="1"/>
  <c r="V532" i="1"/>
  <c r="V533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23" i="1"/>
  <c r="V567" i="1"/>
  <c r="V568" i="1"/>
  <c r="V569" i="1"/>
  <c r="V570" i="1"/>
  <c r="V571" i="1"/>
  <c r="V572" i="1"/>
  <c r="V573" i="1"/>
  <c r="V574" i="1"/>
  <c r="V575" i="1"/>
  <c r="V1103" i="1"/>
  <c r="V1102" i="1"/>
  <c r="V1109" i="1"/>
  <c r="V1108" i="1"/>
  <c r="V1104" i="1"/>
  <c r="V1111" i="1"/>
  <c r="V1112" i="1"/>
  <c r="V1110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07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9" i="1"/>
  <c r="V640" i="1"/>
  <c r="V638" i="1"/>
  <c r="V641" i="1"/>
  <c r="V642" i="1"/>
  <c r="V643" i="1"/>
  <c r="V645" i="1"/>
  <c r="V646" i="1"/>
  <c r="V647" i="1"/>
  <c r="V648" i="1"/>
  <c r="V649" i="1"/>
  <c r="V650" i="1"/>
  <c r="V651" i="1"/>
  <c r="V652" i="1"/>
  <c r="V653" i="1"/>
  <c r="V654" i="1"/>
  <c r="V644" i="1"/>
  <c r="V655" i="1"/>
  <c r="V656" i="1"/>
  <c r="V657" i="1"/>
  <c r="V658" i="1"/>
  <c r="V660" i="1"/>
  <c r="V661" i="1"/>
  <c r="V662" i="1"/>
  <c r="V663" i="1"/>
  <c r="V664" i="1"/>
  <c r="V665" i="1"/>
  <c r="V666" i="1"/>
  <c r="V667" i="1"/>
  <c r="V674" i="1"/>
  <c r="V668" i="1"/>
  <c r="V669" i="1"/>
  <c r="V670" i="1"/>
  <c r="V671" i="1"/>
  <c r="V672" i="1"/>
  <c r="V673" i="1"/>
  <c r="V675" i="1"/>
  <c r="V676" i="1"/>
  <c r="V677" i="1"/>
  <c r="V678" i="1"/>
  <c r="V679" i="1"/>
  <c r="V680" i="1"/>
  <c r="V681" i="1"/>
  <c r="V682" i="1"/>
  <c r="V683" i="1"/>
  <c r="V684" i="1"/>
  <c r="V659" i="1"/>
  <c r="V685" i="1"/>
  <c r="V686" i="1"/>
  <c r="V687" i="1"/>
  <c r="V688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4" i="1"/>
  <c r="V705" i="1"/>
  <c r="V706" i="1"/>
  <c r="V702" i="1"/>
  <c r="V703" i="1"/>
  <c r="V707" i="1"/>
  <c r="V708" i="1"/>
  <c r="V710" i="1"/>
  <c r="V709" i="1"/>
  <c r="V711" i="1"/>
  <c r="V712" i="1"/>
  <c r="V713" i="1"/>
  <c r="V714" i="1"/>
  <c r="V715" i="1"/>
  <c r="V716" i="1"/>
  <c r="V689" i="1"/>
  <c r="V717" i="1"/>
  <c r="V719" i="1"/>
  <c r="V720" i="1"/>
  <c r="V721" i="1"/>
  <c r="V722" i="1"/>
  <c r="V723" i="1"/>
  <c r="V724" i="1"/>
  <c r="V725" i="1"/>
  <c r="V733" i="1"/>
  <c r="V726" i="1"/>
  <c r="V727" i="1"/>
  <c r="V728" i="1"/>
  <c r="V729" i="1"/>
  <c r="V730" i="1"/>
  <c r="V731" i="1"/>
  <c r="V732" i="1"/>
  <c r="V734" i="1"/>
  <c r="V735" i="1"/>
  <c r="V736" i="1"/>
  <c r="V737" i="1"/>
  <c r="V738" i="1"/>
  <c r="V760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18" i="1"/>
  <c r="V761" i="1"/>
  <c r="V762" i="1"/>
  <c r="V763" i="1"/>
  <c r="V764" i="1"/>
  <c r="V765" i="1"/>
  <c r="V766" i="1"/>
  <c r="V767" i="1"/>
  <c r="V768" i="1"/>
  <c r="V770" i="1"/>
  <c r="V771" i="1"/>
  <c r="V772" i="1"/>
  <c r="V773" i="1"/>
  <c r="V769" i="1"/>
  <c r="V774" i="1"/>
  <c r="V775" i="1"/>
  <c r="V776" i="1"/>
  <c r="V777" i="1"/>
  <c r="V778" i="1"/>
  <c r="V779" i="1"/>
  <c r="V780" i="1"/>
  <c r="V781" i="1"/>
  <c r="V783" i="1"/>
  <c r="V784" i="1"/>
  <c r="V785" i="1"/>
  <c r="V786" i="1"/>
  <c r="V788" i="1"/>
  <c r="V787" i="1"/>
  <c r="V789" i="1"/>
  <c r="V790" i="1"/>
  <c r="V791" i="1"/>
  <c r="V782" i="1"/>
  <c r="V792" i="1"/>
  <c r="V793" i="1"/>
  <c r="V794" i="1"/>
  <c r="V795" i="1"/>
  <c r="V796" i="1"/>
  <c r="V797" i="1"/>
  <c r="V798" i="1"/>
  <c r="V799" i="1"/>
  <c r="V801" i="1"/>
  <c r="V802" i="1"/>
  <c r="V800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1082" i="1"/>
  <c r="V1079" i="1"/>
  <c r="V1084" i="1"/>
  <c r="V1085" i="1"/>
  <c r="V1086" i="1"/>
  <c r="V1083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5" i="1"/>
  <c r="V836" i="1"/>
  <c r="V837" i="1"/>
  <c r="V838" i="1"/>
  <c r="V839" i="1"/>
  <c r="V840" i="1"/>
  <c r="V841" i="1"/>
  <c r="V842" i="1"/>
  <c r="V843" i="1"/>
  <c r="V834" i="1"/>
  <c r="V844" i="1"/>
  <c r="V845" i="1"/>
  <c r="V846" i="1"/>
  <c r="V847" i="1"/>
  <c r="V1090" i="1"/>
  <c r="V849" i="1"/>
  <c r="V850" i="1"/>
  <c r="V851" i="1"/>
  <c r="V852" i="1"/>
  <c r="V853" i="1"/>
  <c r="V854" i="1"/>
  <c r="V855" i="1"/>
  <c r="V856" i="1"/>
  <c r="V848" i="1"/>
  <c r="V857" i="1"/>
  <c r="V858" i="1"/>
  <c r="V859" i="1"/>
  <c r="V860" i="1"/>
  <c r="V862" i="1"/>
  <c r="V863" i="1"/>
  <c r="V864" i="1"/>
  <c r="V865" i="1"/>
  <c r="V866" i="1"/>
  <c r="V867" i="1"/>
  <c r="V868" i="1"/>
  <c r="V869" i="1"/>
  <c r="V870" i="1"/>
  <c r="V872" i="1"/>
  <c r="V874" i="1"/>
  <c r="V875" i="1"/>
  <c r="V876" i="1"/>
  <c r="V877" i="1"/>
  <c r="V878" i="1"/>
  <c r="V879" i="1"/>
  <c r="V880" i="1"/>
  <c r="V881" i="1"/>
  <c r="V882" i="1"/>
  <c r="V884" i="1"/>
  <c r="V886" i="1"/>
  <c r="V887" i="1"/>
  <c r="V888" i="1"/>
  <c r="V889" i="1"/>
  <c r="V890" i="1"/>
  <c r="V891" i="1"/>
  <c r="V892" i="1"/>
  <c r="V894" i="1"/>
  <c r="V893" i="1"/>
  <c r="V896" i="1"/>
  <c r="V898" i="1"/>
  <c r="V899" i="1"/>
  <c r="V900" i="1"/>
  <c r="V901" i="1"/>
  <c r="V902" i="1"/>
  <c r="V903" i="1"/>
  <c r="V904" i="1"/>
  <c r="V905" i="1"/>
  <c r="V906" i="1"/>
  <c r="V908" i="1"/>
  <c r="V910" i="1"/>
  <c r="V911" i="1"/>
  <c r="V912" i="1"/>
  <c r="V913" i="1"/>
  <c r="V914" i="1"/>
  <c r="V915" i="1"/>
  <c r="V916" i="1"/>
  <c r="V917" i="1"/>
  <c r="V918" i="1"/>
  <c r="V920" i="1"/>
  <c r="V922" i="1"/>
  <c r="V923" i="1"/>
  <c r="V924" i="1"/>
  <c r="V925" i="1"/>
  <c r="V926" i="1"/>
  <c r="V927" i="1"/>
  <c r="V928" i="1"/>
  <c r="V929" i="1"/>
  <c r="V930" i="1"/>
  <c r="V932" i="1"/>
  <c r="V934" i="1"/>
  <c r="V936" i="1"/>
  <c r="V937" i="1"/>
  <c r="V941" i="1"/>
  <c r="V938" i="1"/>
  <c r="V939" i="1"/>
  <c r="V940" i="1"/>
  <c r="V942" i="1"/>
  <c r="V943" i="1"/>
  <c r="V944" i="1"/>
  <c r="V947" i="1"/>
  <c r="V948" i="1"/>
  <c r="V949" i="1"/>
  <c r="V950" i="1"/>
  <c r="V952" i="1"/>
  <c r="V953" i="1"/>
  <c r="V954" i="1"/>
  <c r="V955" i="1"/>
  <c r="V956" i="1"/>
  <c r="V935" i="1"/>
  <c r="V959" i="1"/>
  <c r="V960" i="1"/>
  <c r="V962" i="1"/>
  <c r="V964" i="1"/>
  <c r="V965" i="1"/>
  <c r="V967" i="1"/>
  <c r="V968" i="1"/>
  <c r="V971" i="1"/>
  <c r="V972" i="1"/>
  <c r="V973" i="1"/>
  <c r="V974" i="1"/>
  <c r="V975" i="1"/>
  <c r="V976" i="1"/>
  <c r="V977" i="1"/>
  <c r="V978" i="1"/>
  <c r="V979" i="1"/>
  <c r="V980" i="1"/>
  <c r="V966" i="1"/>
  <c r="V983" i="1"/>
  <c r="V984" i="1"/>
  <c r="V985" i="1"/>
  <c r="V988" i="1"/>
  <c r="V989" i="1"/>
  <c r="V990" i="1"/>
  <c r="V995" i="1"/>
  <c r="V996" i="1"/>
  <c r="V997" i="1"/>
  <c r="V1000" i="1"/>
  <c r="V1001" i="1"/>
  <c r="V1002" i="1"/>
  <c r="V1007" i="1"/>
  <c r="V1009" i="1"/>
  <c r="V1010" i="1"/>
  <c r="V1012" i="1"/>
  <c r="V1013" i="1"/>
  <c r="V1014" i="1"/>
  <c r="V1015" i="1"/>
  <c r="V1019" i="1"/>
  <c r="V1020" i="1"/>
  <c r="V1021" i="1"/>
  <c r="V1022" i="1"/>
  <c r="V1024" i="1"/>
  <c r="V1025" i="1"/>
  <c r="V1026" i="1"/>
  <c r="V1027" i="1"/>
  <c r="V1031" i="1"/>
  <c r="V1032" i="1"/>
  <c r="V1033" i="1"/>
  <c r="V1034" i="1"/>
  <c r="V1036" i="1"/>
  <c r="V1037" i="1"/>
  <c r="V1038" i="1"/>
  <c r="V1039" i="1"/>
  <c r="V1043" i="1"/>
  <c r="V1044" i="1"/>
  <c r="V1045" i="1"/>
  <c r="V1048" i="1"/>
  <c r="V1049" i="1"/>
  <c r="V1115" i="1"/>
  <c r="V1116" i="1"/>
  <c r="V1123" i="1"/>
  <c r="V1121" i="1"/>
  <c r="V1120" i="1"/>
  <c r="V1122" i="1"/>
  <c r="V1092" i="1"/>
  <c r="S1091" i="1"/>
  <c r="S109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0" i="1"/>
  <c r="S19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2" i="1"/>
  <c r="S71" i="1"/>
  <c r="S72" i="1"/>
  <c r="S73" i="1"/>
  <c r="S74" i="1"/>
  <c r="S76" i="1"/>
  <c r="S75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050" i="1"/>
  <c r="S1051" i="1"/>
  <c r="S1052" i="1"/>
  <c r="S1053" i="1"/>
  <c r="S1054" i="1"/>
  <c r="S1055" i="1"/>
  <c r="S1056" i="1"/>
  <c r="S128" i="1"/>
  <c r="S127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2" i="1"/>
  <c r="S153" i="1"/>
  <c r="S154" i="1"/>
  <c r="S155" i="1"/>
  <c r="S156" i="1"/>
  <c r="S157" i="1"/>
  <c r="S158" i="1"/>
  <c r="S159" i="1"/>
  <c r="S151" i="1"/>
  <c r="S160" i="1"/>
  <c r="S162" i="1"/>
  <c r="S161" i="1"/>
  <c r="S163" i="1"/>
  <c r="S164" i="1"/>
  <c r="S165" i="1"/>
  <c r="S166" i="1"/>
  <c r="S167" i="1"/>
  <c r="S168" i="1"/>
  <c r="S169" i="1"/>
  <c r="S170" i="1"/>
  <c r="S172" i="1"/>
  <c r="S171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26" i="1"/>
  <c r="S214" i="1"/>
  <c r="S215" i="1"/>
  <c r="S216" i="1"/>
  <c r="S217" i="1"/>
  <c r="S227" i="1"/>
  <c r="S218" i="1"/>
  <c r="S219" i="1"/>
  <c r="S220" i="1"/>
  <c r="S221" i="1"/>
  <c r="S222" i="1"/>
  <c r="S223" i="1"/>
  <c r="S224" i="1"/>
  <c r="S225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4" i="1"/>
  <c r="S246" i="1"/>
  <c r="S245" i="1"/>
  <c r="S243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5" i="1"/>
  <c r="S286" i="1"/>
  <c r="S287" i="1"/>
  <c r="S284" i="1"/>
  <c r="S288" i="1"/>
  <c r="S289" i="1"/>
  <c r="S290" i="1"/>
  <c r="S291" i="1"/>
  <c r="S293" i="1"/>
  <c r="S292" i="1"/>
  <c r="S294" i="1"/>
  <c r="S295" i="1"/>
  <c r="S296" i="1"/>
  <c r="S298" i="1"/>
  <c r="S297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197" i="1"/>
  <c r="S312" i="1"/>
  <c r="S313" i="1"/>
  <c r="S314" i="1"/>
  <c r="S315" i="1"/>
  <c r="S316" i="1"/>
  <c r="S317" i="1"/>
  <c r="S247" i="1"/>
  <c r="S318" i="1"/>
  <c r="S319" i="1"/>
  <c r="S321" i="1"/>
  <c r="S322" i="1"/>
  <c r="S323" i="1"/>
  <c r="S324" i="1"/>
  <c r="S325" i="1"/>
  <c r="S326" i="1"/>
  <c r="S327" i="1"/>
  <c r="S328" i="1"/>
  <c r="S320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8" i="1"/>
  <c r="S349" i="1"/>
  <c r="S350" i="1"/>
  <c r="S351" i="1"/>
  <c r="S352" i="1"/>
  <c r="S353" i="1"/>
  <c r="S347" i="1"/>
  <c r="S354" i="1"/>
  <c r="S355" i="1"/>
  <c r="S356" i="1"/>
  <c r="S357" i="1"/>
  <c r="S358" i="1"/>
  <c r="S359" i="1"/>
  <c r="S360" i="1"/>
  <c r="S361" i="1"/>
  <c r="S362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57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63" i="1"/>
  <c r="S390" i="1"/>
  <c r="S391" i="1"/>
  <c r="S392" i="1"/>
  <c r="S393" i="1"/>
  <c r="S395" i="1"/>
  <c r="S394" i="1"/>
  <c r="S396" i="1"/>
  <c r="S397" i="1"/>
  <c r="S398" i="1"/>
  <c r="S399" i="1"/>
  <c r="S400" i="1"/>
  <c r="S401" i="1"/>
  <c r="S402" i="1"/>
  <c r="S403" i="1"/>
  <c r="S404" i="1"/>
  <c r="S406" i="1"/>
  <c r="S408" i="1"/>
  <c r="S409" i="1"/>
  <c r="S410" i="1"/>
  <c r="S411" i="1"/>
  <c r="S412" i="1"/>
  <c r="S407" i="1"/>
  <c r="S413" i="1"/>
  <c r="S414" i="1"/>
  <c r="S415" i="1"/>
  <c r="S416" i="1"/>
  <c r="S417" i="1"/>
  <c r="S418" i="1"/>
  <c r="S419" i="1"/>
  <c r="S425" i="1"/>
  <c r="S420" i="1"/>
  <c r="S421" i="1"/>
  <c r="S422" i="1"/>
  <c r="S423" i="1"/>
  <c r="S424" i="1"/>
  <c r="S426" i="1"/>
  <c r="S427" i="1"/>
  <c r="S428" i="1"/>
  <c r="S429" i="1"/>
  <c r="S405" i="1"/>
  <c r="S577" i="1"/>
  <c r="S578" i="1"/>
  <c r="S579" i="1"/>
  <c r="S580" i="1"/>
  <c r="S581" i="1"/>
  <c r="S582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76" i="1"/>
  <c r="S599" i="1"/>
  <c r="S600" i="1"/>
  <c r="S601" i="1"/>
  <c r="S602" i="1"/>
  <c r="S603" i="1"/>
  <c r="S604" i="1"/>
  <c r="S605" i="1"/>
  <c r="S606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4" i="1"/>
  <c r="S443" i="1"/>
  <c r="S430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534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4" i="1"/>
  <c r="S525" i="1"/>
  <c r="S526" i="1"/>
  <c r="S527" i="1"/>
  <c r="S528" i="1"/>
  <c r="S529" i="1"/>
  <c r="S530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23" i="1"/>
  <c r="S567" i="1"/>
  <c r="S568" i="1"/>
  <c r="S569" i="1"/>
  <c r="S570" i="1"/>
  <c r="S571" i="1"/>
  <c r="S572" i="1"/>
  <c r="S573" i="1"/>
  <c r="S574" i="1"/>
  <c r="S575" i="1"/>
  <c r="S1103" i="1"/>
  <c r="S1102" i="1"/>
  <c r="S1111" i="1"/>
  <c r="S1112" i="1"/>
  <c r="S1113" i="1"/>
  <c r="S1110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07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9" i="1"/>
  <c r="S640" i="1"/>
  <c r="S638" i="1"/>
  <c r="S641" i="1"/>
  <c r="S642" i="1"/>
  <c r="S643" i="1"/>
  <c r="S645" i="1"/>
  <c r="S646" i="1"/>
  <c r="S647" i="1"/>
  <c r="S648" i="1"/>
  <c r="S649" i="1"/>
  <c r="S650" i="1"/>
  <c r="S651" i="1"/>
  <c r="S652" i="1"/>
  <c r="S653" i="1"/>
  <c r="S654" i="1"/>
  <c r="S644" i="1"/>
  <c r="S655" i="1"/>
  <c r="S656" i="1"/>
  <c r="S657" i="1"/>
  <c r="S658" i="1"/>
  <c r="S660" i="1"/>
  <c r="S661" i="1"/>
  <c r="S662" i="1"/>
  <c r="S663" i="1"/>
  <c r="S664" i="1"/>
  <c r="S665" i="1"/>
  <c r="S666" i="1"/>
  <c r="S667" i="1"/>
  <c r="S674" i="1"/>
  <c r="S668" i="1"/>
  <c r="S669" i="1"/>
  <c r="S670" i="1"/>
  <c r="S671" i="1"/>
  <c r="S672" i="1"/>
  <c r="S673" i="1"/>
  <c r="S675" i="1"/>
  <c r="S676" i="1"/>
  <c r="S677" i="1"/>
  <c r="S678" i="1"/>
  <c r="S679" i="1"/>
  <c r="S680" i="1"/>
  <c r="S681" i="1"/>
  <c r="S682" i="1"/>
  <c r="S683" i="1"/>
  <c r="S684" i="1"/>
  <c r="S659" i="1"/>
  <c r="S685" i="1"/>
  <c r="S686" i="1"/>
  <c r="S687" i="1"/>
  <c r="S688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4" i="1"/>
  <c r="S705" i="1"/>
  <c r="S706" i="1"/>
  <c r="S702" i="1"/>
  <c r="S703" i="1"/>
  <c r="S707" i="1"/>
  <c r="S708" i="1"/>
  <c r="S710" i="1"/>
  <c r="S709" i="1"/>
  <c r="S711" i="1"/>
  <c r="S712" i="1"/>
  <c r="S713" i="1"/>
  <c r="S714" i="1"/>
  <c r="S715" i="1"/>
  <c r="S716" i="1"/>
  <c r="S689" i="1"/>
  <c r="S717" i="1"/>
  <c r="S719" i="1"/>
  <c r="S720" i="1"/>
  <c r="S721" i="1"/>
  <c r="S722" i="1"/>
  <c r="S723" i="1"/>
  <c r="S724" i="1"/>
  <c r="S725" i="1"/>
  <c r="S733" i="1"/>
  <c r="S726" i="1"/>
  <c r="S727" i="1"/>
  <c r="S728" i="1"/>
  <c r="S729" i="1"/>
  <c r="S730" i="1"/>
  <c r="S731" i="1"/>
  <c r="S732" i="1"/>
  <c r="S734" i="1"/>
  <c r="S735" i="1"/>
  <c r="S736" i="1"/>
  <c r="S737" i="1"/>
  <c r="S738" i="1"/>
  <c r="S760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18" i="1"/>
  <c r="S761" i="1"/>
  <c r="S762" i="1"/>
  <c r="S763" i="1"/>
  <c r="S764" i="1"/>
  <c r="S765" i="1"/>
  <c r="S766" i="1"/>
  <c r="S767" i="1"/>
  <c r="S768" i="1"/>
  <c r="S770" i="1"/>
  <c r="S771" i="1"/>
  <c r="S772" i="1"/>
  <c r="S773" i="1"/>
  <c r="S769" i="1"/>
  <c r="S774" i="1"/>
  <c r="S775" i="1"/>
  <c r="S776" i="1"/>
  <c r="S777" i="1"/>
  <c r="S778" i="1"/>
  <c r="S779" i="1"/>
  <c r="S780" i="1"/>
  <c r="S781" i="1"/>
  <c r="S783" i="1"/>
  <c r="S784" i="1"/>
  <c r="S785" i="1"/>
  <c r="S786" i="1"/>
  <c r="S788" i="1"/>
  <c r="S787" i="1"/>
  <c r="S789" i="1"/>
  <c r="S790" i="1"/>
  <c r="S791" i="1"/>
  <c r="S782" i="1"/>
  <c r="S792" i="1"/>
  <c r="S793" i="1"/>
  <c r="S794" i="1"/>
  <c r="S795" i="1"/>
  <c r="S796" i="1"/>
  <c r="S797" i="1"/>
  <c r="S798" i="1"/>
  <c r="S799" i="1"/>
  <c r="S801" i="1"/>
  <c r="S802" i="1"/>
  <c r="S800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1077" i="1"/>
  <c r="S1076" i="1"/>
  <c r="S1078" i="1"/>
  <c r="S1082" i="1"/>
  <c r="S1079" i="1"/>
  <c r="S1080" i="1"/>
  <c r="S1081" i="1"/>
  <c r="S1084" i="1"/>
  <c r="S1085" i="1"/>
  <c r="S1086" i="1"/>
  <c r="S1083" i="1"/>
  <c r="S1087" i="1"/>
  <c r="S1088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5" i="1"/>
  <c r="S836" i="1"/>
  <c r="S837" i="1"/>
  <c r="S838" i="1"/>
  <c r="S839" i="1"/>
  <c r="S840" i="1"/>
  <c r="S841" i="1"/>
  <c r="S842" i="1"/>
  <c r="S843" i="1"/>
  <c r="S834" i="1"/>
  <c r="S844" i="1"/>
  <c r="S845" i="1"/>
  <c r="S846" i="1"/>
  <c r="S847" i="1"/>
  <c r="S1090" i="1"/>
  <c r="S849" i="1"/>
  <c r="S850" i="1"/>
  <c r="S851" i="1"/>
  <c r="S852" i="1"/>
  <c r="S853" i="1"/>
  <c r="S854" i="1"/>
  <c r="S855" i="1"/>
  <c r="S856" i="1"/>
  <c r="S848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4" i="1"/>
  <c r="S893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6" i="1"/>
  <c r="S937" i="1"/>
  <c r="S941" i="1"/>
  <c r="S938" i="1"/>
  <c r="S939" i="1"/>
  <c r="S940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35" i="1"/>
  <c r="S958" i="1"/>
  <c r="S959" i="1"/>
  <c r="S960" i="1"/>
  <c r="S962" i="1"/>
  <c r="S963" i="1"/>
  <c r="S964" i="1"/>
  <c r="S965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66" i="1"/>
  <c r="S981" i="1"/>
  <c r="S982" i="1"/>
  <c r="S961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08" i="1"/>
  <c r="S1040" i="1"/>
  <c r="S1041" i="1"/>
  <c r="S1042" i="1"/>
  <c r="S1043" i="1"/>
  <c r="S1044" i="1"/>
  <c r="S1045" i="1"/>
  <c r="S1046" i="1"/>
  <c r="S1047" i="1"/>
  <c r="S1048" i="1"/>
  <c r="S1049" i="1"/>
  <c r="S1115" i="1"/>
  <c r="S1114" i="1"/>
  <c r="S1117" i="1"/>
  <c r="S1123" i="1"/>
  <c r="S1121" i="1"/>
  <c r="S1120" i="1"/>
  <c r="S1122" i="1"/>
</calcChain>
</file>

<file path=xl/sharedStrings.xml><?xml version="1.0" encoding="utf-8"?>
<sst xmlns="http://schemas.openxmlformats.org/spreadsheetml/2006/main" count="2474" uniqueCount="1169">
  <si>
    <t>AMAZONAS</t>
  </si>
  <si>
    <t>EL ENCANTO</t>
  </si>
  <si>
    <t>LA CHORRERA</t>
  </si>
  <si>
    <t>LA PEDRERA</t>
  </si>
  <si>
    <t>LA VICTORIA</t>
  </si>
  <si>
    <t>LETICIA</t>
  </si>
  <si>
    <t>MIRITIÑPARANA</t>
  </si>
  <si>
    <t>PTO SANTANDER</t>
  </si>
  <si>
    <t>PUERTO ALEGRIA</t>
  </si>
  <si>
    <t>PUERTO ARICA</t>
  </si>
  <si>
    <t>PUERTO NARI¥O</t>
  </si>
  <si>
    <t>TARAPACA</t>
  </si>
  <si>
    <t>ANTIOQUIA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</si>
  <si>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</si>
  <si>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</si>
  <si>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</si>
  <si>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</si>
  <si>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</si>
  <si>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</si>
  <si>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</si>
  <si>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</si>
  <si>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</si>
  <si>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</si>
  <si>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</si>
  <si>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</si>
  <si>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</si>
  <si>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</si>
  <si>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</si>
  <si>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</si>
  <si>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</si>
  <si>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</si>
  <si>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</si>
  <si>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</si>
  <si>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CIUDAD BOLIVAR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</si>
  <si>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</si>
  <si>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</si>
  <si>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</si>
  <si>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</si>
  <si>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</si>
  <si>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</si>
  <si>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</si>
  <si>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</si>
  <si>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</si>
  <si>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</si>
  <si>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</si>
  <si>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</si>
  <si>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</si>
  <si>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</si>
  <si>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</si>
  <si>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</si>
  <si>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</si>
  <si>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</si>
  <si>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</si>
  <si>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</si>
  <si>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</si>
  <si>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</si>
  <si>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</si>
  <si>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</si>
  <si>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</si>
  <si>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</si>
  <si>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</si>
  <si>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</si>
  <si>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</si>
  <si>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</si>
  <si>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</si>
  <si>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</si>
  <si>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</si>
  <si>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</si>
  <si>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</si>
  <si>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</si>
  <si>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</si>
  <si>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</si>
  <si>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</si>
  <si>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</si>
  <si>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</si>
  <si>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</si>
  <si>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</si>
  <si>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</si>
  <si>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</si>
  <si>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</si>
  <si>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</si>
  <si>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</si>
  <si>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</si>
  <si>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</si>
  <si>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</si>
  <si>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NARIÑO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</si>
  <si>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</si>
  <si>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</si>
  <si>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</si>
  <si>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</si>
  <si>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</si>
  <si>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</si>
  <si>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</si>
  <si>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</si>
  <si>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</si>
  <si>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</si>
  <si>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</si>
  <si>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</si>
  <si>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</si>
  <si>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</si>
  <si>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</si>
  <si>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</si>
  <si>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</si>
  <si>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</si>
  <si>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</si>
  <si>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</si>
  <si>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</si>
  <si>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</si>
  <si>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</si>
  <si>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</si>
  <si>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</si>
  <si>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</si>
  <si>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</si>
  <si>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</si>
  <si>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</si>
  <si>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</si>
  <si>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</si>
  <si>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</si>
  <si>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</si>
  <si>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</si>
  <si>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</si>
  <si>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</si>
  <si>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</si>
  <si>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</si>
  <si>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</si>
  <si>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</si>
  <si>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</si>
  <si>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</si>
  <si>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</si>
  <si>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</si>
  <si>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</si>
  <si>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</si>
  <si>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</si>
  <si>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</si>
  <si>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</si>
  <si>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</si>
  <si>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</si>
  <si>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</si>
  <si>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ARAUCA</t>
  </si>
  <si>
    <t>ARAUQUITA</t>
  </si>
  <si>
    <t>CRAVO NORTE</t>
  </si>
  <si>
    <t>FORTUL</t>
  </si>
  <si>
    <t>PUERTO RONDON</t>
  </si>
  <si>
    <t>SARAVENA</t>
  </si>
  <si>
    <t>TAME</t>
  </si>
  <si>
    <t>ATLANTICO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</si>
  <si>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</si>
  <si>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</si>
  <si>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</si>
  <si>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</si>
  <si>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</si>
  <si>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</si>
  <si>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</si>
  <si>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</si>
  <si>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</si>
  <si>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</si>
  <si>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</si>
  <si>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 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</si>
  <si>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</si>
  <si>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</si>
  <si>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</si>
  <si>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</si>
  <si>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</si>
  <si>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</si>
  <si>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</si>
  <si>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</si>
  <si>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</si>
  <si>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</si>
  <si>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</si>
  <si>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</si>
  <si>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</si>
  <si>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</si>
  <si>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</si>
  <si>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</si>
  <si>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</si>
  <si>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</si>
  <si>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</si>
  <si>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</si>
  <si>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</t>
  </si>
  <si>
    <t>CICUCO</t>
  </si>
  <si>
    <t>CLEMENCIA</t>
  </si>
  <si>
    <t>CORDOBA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</si>
  <si>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</si>
  <si>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</si>
  <si>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</si>
  <si>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</si>
  <si>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</si>
  <si>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</si>
  <si>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</si>
  <si>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</si>
  <si>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</si>
  <si>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</si>
  <si>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</si>
  <si>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</si>
  <si>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</si>
  <si>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</si>
  <si>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</si>
  <si>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</si>
  <si>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</si>
  <si>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</si>
  <si>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</si>
  <si>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</si>
  <si>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</si>
  <si>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</si>
  <si>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</si>
  <si>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</si>
  <si>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</si>
  <si>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</si>
  <si>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</si>
  <si>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</si>
  <si>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</si>
  <si>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</si>
  <si>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</si>
  <si>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</si>
  <si>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</si>
  <si>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</si>
  <si>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</si>
  <si>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ALMEIDA</t>
  </si>
  <si>
    <t>AQUITANIA</t>
  </si>
  <si>
    <t>ARCABUCO</t>
  </si>
  <si>
    <t>BELEN</t>
  </si>
  <si>
    <t>BERBEO</t>
  </si>
  <si>
    <t>BETEITIVA</t>
  </si>
  <si>
    <t>BOAVITA</t>
  </si>
  <si>
    <t>BRICENO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</si>
  <si>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</si>
  <si>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</si>
  <si>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</si>
  <si>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</si>
  <si>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</si>
  <si>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</si>
  <si>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</si>
  <si>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</si>
  <si>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</si>
  <si>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</si>
  <si>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</si>
  <si>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</si>
  <si>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</si>
  <si>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</si>
  <si>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</si>
  <si>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</si>
  <si>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</si>
  <si>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</si>
  <si>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</si>
  <si>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</si>
  <si>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</si>
  <si>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</si>
  <si>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</si>
  <si>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</si>
  <si>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</si>
  <si>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</si>
  <si>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</si>
  <si>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</si>
  <si>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</si>
  <si>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</si>
  <si>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</si>
  <si>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</si>
  <si>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</si>
  <si>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</si>
  <si>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</si>
  <si>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</si>
  <si>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</si>
  <si>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</si>
  <si>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</si>
  <si>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</si>
  <si>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</si>
  <si>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</si>
  <si>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</si>
  <si>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</si>
  <si>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</si>
  <si>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</si>
  <si>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</si>
  <si>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</si>
  <si>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</si>
  <si>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</si>
  <si>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</si>
  <si>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</si>
  <si>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</si>
  <si>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</si>
  <si>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</si>
  <si>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</si>
  <si>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</si>
  <si>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</si>
  <si>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</si>
  <si>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</si>
  <si>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</si>
  <si>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</si>
  <si>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</si>
  <si>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</si>
  <si>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</si>
  <si>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</si>
  <si>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</si>
  <si>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</si>
  <si>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</si>
  <si>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</si>
  <si>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</si>
  <si>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</si>
  <si>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</si>
  <si>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</si>
  <si>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</si>
  <si>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</si>
  <si>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</si>
  <si>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</si>
  <si>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</si>
  <si>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</si>
  <si>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</si>
  <si>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</si>
  <si>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</si>
  <si>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</si>
  <si>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</si>
  <si>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</si>
  <si>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</si>
  <si>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</si>
  <si>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</si>
  <si>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</si>
  <si>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</si>
  <si>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</si>
  <si>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</si>
  <si>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</si>
  <si>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</si>
  <si>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</si>
  <si>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</si>
  <si>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</si>
  <si>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</si>
  <si>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</si>
  <si>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</si>
  <si>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</si>
  <si>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</si>
  <si>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</si>
  <si>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</si>
  <si>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TUTASA</t>
  </si>
  <si>
    <t>UMBITA</t>
  </si>
  <si>
    <t>VENTAQUEMADA</t>
  </si>
  <si>
    <t>VILLA DE LEYVA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</si>
  <si>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</si>
  <si>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</si>
  <si>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</si>
  <si>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</si>
  <si>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</si>
  <si>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</si>
  <si>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</si>
  <si>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</si>
  <si>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</si>
  <si>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</si>
  <si>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</si>
  <si>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</si>
  <si>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</si>
  <si>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</si>
  <si>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</si>
  <si>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</si>
  <si>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</si>
  <si>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</si>
  <si>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</si>
  <si>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</si>
  <si>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</si>
  <si>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</si>
  <si>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</si>
  <si>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</si>
  <si>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 DE CALDAS</t>
  </si>
  <si>
    <t>SUPIA</t>
  </si>
  <si>
    <t>VICTORIA</t>
  </si>
  <si>
    <t>VILLAMARIA</t>
  </si>
  <si>
    <t>VITERBO</t>
  </si>
  <si>
    <t>CAQUETA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</si>
  <si>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</si>
  <si>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</si>
  <si>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</si>
  <si>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</si>
  <si>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</si>
  <si>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</si>
  <si>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</si>
  <si>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MONTANITA</t>
  </si>
  <si>
    <t>MILAN</t>
  </si>
  <si>
    <t>MORELIA</t>
  </si>
  <si>
    <t>PUERTO RICO</t>
  </si>
  <si>
    <t>SAN JOSE DE FRAGUA</t>
  </si>
  <si>
    <t>SAN VICENTE DEL CAGUAN</t>
  </si>
  <si>
    <t>SOLANO</t>
  </si>
  <si>
    <t>SOLITA</t>
  </si>
  <si>
    <t>CASANARE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</si>
  <si>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</si>
  <si>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</si>
  <si>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</si>
  <si>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</si>
  <si>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</si>
  <si>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</si>
  <si>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</si>
  <si>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</si>
  <si>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</si>
  <si>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</si>
  <si>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</si>
  <si>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</si>
  <si>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</si>
  <si>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</si>
  <si>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</si>
  <si>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</si>
  <si>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</si>
  <si>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CAUCA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</si>
  <si>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</si>
  <si>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</si>
  <si>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</si>
  <si>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</si>
  <si>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</si>
  <si>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</si>
  <si>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</si>
  <si>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</si>
  <si>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</si>
  <si>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</si>
  <si>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</si>
  <si>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</si>
  <si>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</si>
  <si>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</si>
  <si>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</si>
  <si>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</si>
  <si>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</si>
  <si>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</si>
  <si>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 (EL BORDO)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</si>
  <si>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</si>
  <si>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</si>
  <si>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</si>
  <si>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</si>
  <si>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</si>
  <si>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</si>
  <si>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</si>
  <si>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</si>
  <si>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</si>
  <si>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</si>
  <si>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</si>
  <si>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</si>
  <si>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</si>
  <si>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</si>
  <si>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</si>
  <si>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</si>
  <si>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</si>
  <si>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</si>
  <si>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AGUACHICA</t>
  </si>
  <si>
    <t>ASTREA</t>
  </si>
  <si>
    <t>BECERRIL</t>
  </si>
  <si>
    <t>BOSCONIA</t>
  </si>
  <si>
    <t>CHIMICHAGUA</t>
  </si>
  <si>
    <t>CHIRIGUANA</t>
  </si>
  <si>
    <t>CODAZZI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</si>
  <si>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</si>
  <si>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</si>
  <si>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</si>
  <si>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</si>
  <si>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</si>
  <si>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</si>
  <si>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</si>
  <si>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PAZ  ROBLES</t>
  </si>
  <si>
    <t>MANAURE BALCON DEL CESAR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</si>
  <si>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</si>
  <si>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</si>
  <si>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</si>
  <si>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</si>
  <si>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</si>
  <si>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</si>
  <si>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</si>
  <si>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</si>
  <si>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</si>
  <si>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>CHOCO</t>
  </si>
  <si>
    <t>ACANDI</t>
  </si>
  <si>
    <t>ALTO BAUDO</t>
  </si>
  <si>
    <t>ATRATO</t>
  </si>
  <si>
    <t>BAGADO</t>
  </si>
  <si>
    <t>BAHIA SOLANO</t>
  </si>
  <si>
    <t>BAJO BAUDO</t>
  </si>
  <si>
    <t>BELEN DE BAJIRA</t>
  </si>
  <si>
    <t>BOJAYA</t>
  </si>
  <si>
    <t>CANTON DE SAN PABLO</t>
  </si>
  <si>
    <t>CARMEN DEL DARIEN</t>
  </si>
  <si>
    <t>CERTEGUI</t>
  </si>
  <si>
    <t>CONDOTO</t>
  </si>
  <si>
    <t>EL CARMEN</t>
  </si>
  <si>
    <t>EL LITORAL DEL SAN JUAN</t>
  </si>
  <si>
    <t>ITSMINA</t>
  </si>
  <si>
    <t>JURADO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</si>
  <si>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</si>
  <si>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</si>
  <si>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</si>
  <si>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</si>
  <si>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</si>
  <si>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</si>
  <si>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</si>
  <si>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</si>
  <si>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</si>
  <si>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</si>
  <si>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</si>
  <si>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</si>
  <si>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</si>
  <si>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</si>
  <si>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</si>
  <si>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</si>
  <si>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</si>
  <si>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</si>
  <si>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</si>
  <si>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</si>
  <si>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</si>
  <si>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</si>
  <si>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</si>
  <si>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</si>
  <si>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</si>
  <si>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MONITOS</t>
  </si>
  <si>
    <t>MONTELIBANO</t>
  </si>
  <si>
    <t>MONTERIA</t>
  </si>
  <si>
    <t>PLANETA RICA</t>
  </si>
  <si>
    <t>PUEBLO NUEVO</t>
  </si>
  <si>
    <t>PUERTO ESCONDIDO</t>
  </si>
  <si>
    <t>PUERTO LIBERTADOR</t>
  </si>
  <si>
    <t>PURISIMA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</si>
  <si>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</si>
  <si>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</si>
  <si>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</si>
  <si>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</si>
  <si>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</si>
  <si>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</si>
  <si>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</si>
  <si>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</si>
  <si>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</si>
  <si>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</si>
  <si>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</si>
  <si>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</si>
  <si>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</si>
  <si>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</si>
  <si>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</si>
  <si>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</si>
  <si>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</si>
  <si>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</si>
  <si>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</si>
  <si>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</si>
  <si>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</si>
  <si>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</si>
  <si>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</si>
  <si>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</si>
  <si>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</si>
  <si>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</si>
  <si>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</si>
  <si>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</si>
  <si>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</si>
  <si>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</si>
  <si>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</si>
  <si>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</si>
  <si>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</si>
  <si>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</si>
  <si>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PEÑOL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</si>
  <si>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</si>
  <si>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</si>
  <si>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</si>
  <si>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</si>
  <si>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</si>
  <si>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</si>
  <si>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</si>
  <si>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</si>
  <si>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</si>
  <si>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</si>
  <si>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</si>
  <si>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</si>
  <si>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</si>
  <si>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</si>
  <si>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</si>
  <si>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</si>
  <si>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</si>
  <si>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</si>
  <si>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</si>
  <si>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</si>
  <si>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</si>
  <si>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</si>
  <si>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</si>
  <si>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</si>
  <si>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</si>
  <si>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</si>
  <si>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</si>
  <si>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</si>
  <si>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</si>
  <si>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</si>
  <si>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</si>
  <si>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</si>
  <si>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</si>
  <si>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</si>
  <si>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</si>
  <si>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</si>
  <si>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</si>
  <si>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</si>
  <si>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</si>
  <si>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</si>
  <si>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</si>
  <si>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</si>
  <si>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</si>
  <si>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</si>
  <si>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</si>
  <si>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</si>
  <si>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</si>
  <si>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S.ANTONIO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</si>
  <si>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</si>
  <si>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</si>
  <si>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</si>
  <si>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</si>
  <si>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</si>
  <si>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</si>
  <si>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</si>
  <si>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</si>
  <si>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</si>
  <si>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</si>
  <si>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</si>
  <si>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</si>
  <si>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</si>
  <si>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</si>
  <si>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</si>
  <si>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</si>
  <si>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</si>
  <si>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</si>
  <si>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</si>
  <si>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</si>
  <si>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</si>
  <si>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</si>
  <si>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</si>
  <si>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</si>
  <si>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</si>
  <si>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</si>
  <si>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</si>
  <si>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</si>
  <si>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</si>
  <si>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</si>
  <si>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</si>
  <si>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</si>
  <si>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</si>
  <si>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</si>
  <si>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</si>
  <si>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</si>
  <si>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</si>
  <si>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</si>
  <si>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GUAINIA</t>
  </si>
  <si>
    <t>BARRANCO MINAS</t>
  </si>
  <si>
    <t>CACAHUAL</t>
  </si>
  <si>
    <t>INIRIDA</t>
  </si>
  <si>
    <t>LA GUADALUPE</t>
  </si>
  <si>
    <t>MORICHAL NUEVO</t>
  </si>
  <si>
    <t>PANA PANA</t>
  </si>
  <si>
    <t>SAN FELIPE</t>
  </si>
  <si>
    <t>GUAVIARE</t>
  </si>
  <si>
    <t>EL RETORNO</t>
  </si>
  <si>
    <t>SAN JOSE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</si>
  <si>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</si>
  <si>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</si>
  <si>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</si>
  <si>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</si>
  <si>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</si>
  <si>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</si>
  <si>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</si>
  <si>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</si>
  <si>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</si>
  <si>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</si>
  <si>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</si>
  <si>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</si>
  <si>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</si>
  <si>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</si>
  <si>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</si>
  <si>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</si>
  <si>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</si>
  <si>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</si>
  <si>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</si>
  <si>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</si>
  <si>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</si>
  <si>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</si>
  <si>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</si>
  <si>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</si>
  <si>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</si>
  <si>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</si>
  <si>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</si>
  <si>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</si>
  <si>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</si>
  <si>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</si>
  <si>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</si>
  <si>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</si>
  <si>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</si>
  <si>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</si>
  <si>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</si>
  <si>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LA GUAJIRA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</si>
  <si>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</si>
  <si>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</si>
  <si>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</si>
  <si>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</si>
  <si>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</si>
  <si>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</si>
  <si>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</si>
  <si>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</si>
  <si>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</si>
  <si>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</si>
  <si>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</si>
  <si>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</si>
  <si>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</si>
  <si>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</si>
  <si>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</si>
  <si>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</si>
  <si>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ARIGUANI</t>
  </si>
  <si>
    <t>CERRO SAN ANTONIO</t>
  </si>
  <si>
    <t>CHIVOLO</t>
  </si>
  <si>
    <t>CIENAGA</t>
  </si>
  <si>
    <t>EL BANCO</t>
  </si>
  <si>
    <t>EL PIJI¥O DEL CARMEN</t>
  </si>
  <si>
    <t>EL PIÑON</t>
  </si>
  <si>
    <t>EL RETEN</t>
  </si>
  <si>
    <t>FUNDACION</t>
  </si>
  <si>
    <t>GUAMAL</t>
  </si>
  <si>
    <t>NUEVA GRANADA</t>
  </si>
  <si>
    <t>PEDRAZA</t>
  </si>
  <si>
    <t>PIVIJAY</t>
  </si>
  <si>
    <t>PLATO</t>
  </si>
  <si>
    <t>PUEBLOVIEJO</t>
  </si>
  <si>
    <t>REMOLINO</t>
  </si>
  <si>
    <t>SABANA DE SAN ANGEL</t>
  </si>
  <si>
    <t>SAN SEBASTIAN BUENAVIST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</si>
  <si>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</si>
  <si>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</si>
  <si>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</si>
  <si>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</si>
  <si>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</si>
  <si>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</si>
  <si>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</si>
  <si>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</t>
  </si>
  <si>
    <t>META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</si>
  <si>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</si>
  <si>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</si>
  <si>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</si>
  <si>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</si>
  <si>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</si>
  <si>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</si>
  <si>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</si>
  <si>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</si>
  <si>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</si>
  <si>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</si>
  <si>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</si>
  <si>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</si>
  <si>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</si>
  <si>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</si>
  <si>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</si>
  <si>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</si>
  <si>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</si>
  <si>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</si>
  <si>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</si>
  <si>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</si>
  <si>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GUAROA</t>
  </si>
  <si>
    <t>SAN JUAN DE ARAMA</t>
  </si>
  <si>
    <t>SAN JUANITO</t>
  </si>
  <si>
    <t>VILLAVICENCIO</t>
  </si>
  <si>
    <t>VISTA HERMOSA</t>
  </si>
  <si>
    <t>NARINO</t>
  </si>
  <si>
    <t>ALDANA</t>
  </si>
  <si>
    <t>ANCUYA</t>
  </si>
  <si>
    <t>ARBOLEDA</t>
  </si>
  <si>
    <t>BARBACOAS</t>
  </si>
  <si>
    <t>BUESACO</t>
  </si>
  <si>
    <t>CHACHAGUI</t>
  </si>
  <si>
    <t>COLON</t>
  </si>
  <si>
    <t>CONSACA</t>
  </si>
  <si>
    <t>CONTADERO</t>
  </si>
  <si>
    <t>CUASPUD</t>
  </si>
  <si>
    <t>CUMBAL</t>
  </si>
  <si>
    <t>CUMBITARA</t>
  </si>
  <si>
    <t>EL CHARCO</t>
  </si>
  <si>
    <t>EL PENOL</t>
  </si>
  <si>
    <t>EL ROSARIO</t>
  </si>
  <si>
    <t>EL TABLON</t>
  </si>
  <si>
    <t>FRANCIS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</si>
  <si>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</si>
  <si>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</si>
  <si>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</si>
  <si>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</si>
  <si>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</si>
  <si>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</si>
  <si>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</si>
  <si>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</si>
  <si>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</si>
  <si>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</si>
  <si>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</si>
  <si>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LEYVA</t>
  </si>
  <si>
    <t>LINARES</t>
  </si>
  <si>
    <t>LOS ANDES</t>
  </si>
  <si>
    <t>MAGUI</t>
  </si>
  <si>
    <t>MALLAMA</t>
  </si>
  <si>
    <t>NARI¥O</t>
  </si>
  <si>
    <t>OLAYA HERRERA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</si>
  <si>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</si>
  <si>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</si>
  <si>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</si>
  <si>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</si>
  <si>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</si>
  <si>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</si>
  <si>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</si>
  <si>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</si>
  <si>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</si>
  <si>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</si>
  <si>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</si>
  <si>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</si>
  <si>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</si>
  <si>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</si>
  <si>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</si>
  <si>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</si>
  <si>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</si>
  <si>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</si>
  <si>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</si>
  <si>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</si>
  <si>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</si>
  <si>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</si>
  <si>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</si>
  <si>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</si>
  <si>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</si>
  <si>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</si>
  <si>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</si>
  <si>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</si>
  <si>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</si>
  <si>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</si>
  <si>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</si>
  <si>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</si>
  <si>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</si>
  <si>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</si>
  <si>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</si>
  <si>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</si>
  <si>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</si>
  <si>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</si>
  <si>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</si>
  <si>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</si>
  <si>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</si>
  <si>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</si>
  <si>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</si>
  <si>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</si>
  <si>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</si>
  <si>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</si>
  <si>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</si>
  <si>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</si>
  <si>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</si>
  <si>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</si>
  <si>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</si>
  <si>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</si>
  <si>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</si>
  <si>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</si>
  <si>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</si>
  <si>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</si>
  <si>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</si>
  <si>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PUTUMAYO</t>
  </si>
  <si>
    <t>MOCOA</t>
  </si>
  <si>
    <t>ORITO</t>
  </si>
  <si>
    <t>PUERTO  LEGUIZAMO</t>
  </si>
  <si>
    <t>PUERTO ASIS</t>
  </si>
  <si>
    <t>PUERTO CAICEDO</t>
  </si>
  <si>
    <t>PUERTO GUZMAN</t>
  </si>
  <si>
    <t>SAN MIGUEL</t>
  </si>
  <si>
    <t>SIBUNDOY</t>
  </si>
  <si>
    <t>VALLE DEL GUAMUEZ</t>
  </si>
  <si>
    <t>VILLAGARZON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</si>
  <si>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</si>
  <si>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</si>
  <si>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</si>
  <si>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</si>
  <si>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</si>
  <si>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</si>
  <si>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</si>
  <si>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</si>
  <si>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</si>
  <si>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</si>
  <si>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</si>
  <si>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</si>
  <si>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</si>
  <si>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</si>
  <si>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</si>
  <si>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</si>
  <si>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</si>
  <si>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</si>
  <si>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</si>
  <si>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</si>
  <si>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</si>
  <si>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</si>
  <si>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SANTANDER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</si>
  <si>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</si>
  <si>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</si>
  <si>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</si>
  <si>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</si>
  <si>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</si>
  <si>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</si>
  <si>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</si>
  <si>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</si>
  <si>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</si>
  <si>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</si>
  <si>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</si>
  <si>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</si>
  <si>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</si>
  <si>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</si>
  <si>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</si>
  <si>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</si>
  <si>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</si>
  <si>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</si>
  <si>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</si>
  <si>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</si>
  <si>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</si>
  <si>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</si>
  <si>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</si>
  <si>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</si>
  <si>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</si>
  <si>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</si>
  <si>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</si>
  <si>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</si>
  <si>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</si>
  <si>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</si>
  <si>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</si>
  <si>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</si>
  <si>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</si>
  <si>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</si>
  <si>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</si>
  <si>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</si>
  <si>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</si>
  <si>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</si>
  <si>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</si>
  <si>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</si>
  <si>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</si>
  <si>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</si>
  <si>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</si>
  <si>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</si>
  <si>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</si>
  <si>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</si>
  <si>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</si>
  <si>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</si>
  <si>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</si>
  <si>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</si>
  <si>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</si>
  <si>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</si>
  <si>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</si>
  <si>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</si>
  <si>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</si>
  <si>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</si>
  <si>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</si>
  <si>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</si>
  <si>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</si>
  <si>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</si>
  <si>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</si>
  <si>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</si>
  <si>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</si>
  <si>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</si>
  <si>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</si>
  <si>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</si>
  <si>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</si>
  <si>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</si>
  <si>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</si>
  <si>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</si>
  <si>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</si>
  <si>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</si>
  <si>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</si>
  <si>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</si>
  <si>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</si>
  <si>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</si>
  <si>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</si>
  <si>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</si>
  <si>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</si>
  <si>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</si>
  <si>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</si>
  <si>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</si>
  <si>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</si>
  <si>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</si>
  <si>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</si>
  <si>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</si>
  <si>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</si>
  <si>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</si>
  <si>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</si>
  <si>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SINCE</t>
  </si>
  <si>
    <t>SINCELEJO</t>
  </si>
  <si>
    <t>TOLU</t>
  </si>
  <si>
    <t>TOLUVIEJO</t>
  </si>
  <si>
    <t>TOLIMA</t>
  </si>
  <si>
    <t>ALPUJARRA</t>
  </si>
  <si>
    <t>ALVARADO</t>
  </si>
  <si>
    <t>AMBALEMA</t>
  </si>
  <si>
    <t>ANZOATEGUI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</si>
  <si>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</si>
  <si>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</si>
  <si>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</si>
  <si>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</si>
  <si>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</si>
  <si>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</si>
  <si>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</si>
  <si>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</si>
  <si>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</si>
  <si>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</si>
  <si>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</si>
  <si>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</si>
  <si>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</si>
  <si>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</si>
  <si>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GUAYABAL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</si>
  <si>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</si>
  <si>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</si>
  <si>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</si>
  <si>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</si>
  <si>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</si>
  <si>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</si>
  <si>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</si>
  <si>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</si>
  <si>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</si>
  <si>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</si>
  <si>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</si>
  <si>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</si>
  <si>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</si>
  <si>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</si>
  <si>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</si>
  <si>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</si>
  <si>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</si>
  <si>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</si>
  <si>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</si>
  <si>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</si>
  <si>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</si>
  <si>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</si>
  <si>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</si>
  <si>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</si>
  <si>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 HERMOSA</t>
  </si>
  <si>
    <t>VILLARRICA</t>
  </si>
  <si>
    <t>VALLE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</si>
  <si>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</si>
  <si>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</si>
  <si>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</si>
  <si>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</si>
  <si>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</si>
  <si>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</si>
  <si>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</si>
  <si>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</si>
  <si>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</si>
  <si>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</si>
  <si>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</si>
  <si>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</si>
  <si>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</si>
  <si>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</si>
  <si>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</si>
  <si>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</si>
  <si>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</si>
  <si>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</si>
  <si>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</si>
  <si>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</si>
  <si>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</si>
  <si>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</si>
  <si>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</si>
  <si>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</si>
  <si>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SANTIAGO DE CALI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</si>
  <si>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</si>
  <si>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</si>
  <si>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</si>
  <si>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</si>
  <si>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</si>
  <si>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</si>
  <si>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</si>
  <si>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</si>
  <si>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</si>
  <si>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</si>
  <si>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VAUPES</t>
  </si>
  <si>
    <t>CARURU</t>
  </si>
  <si>
    <t>MITU</t>
  </si>
  <si>
    <t>PACOA</t>
  </si>
  <si>
    <t>PAPUNAHUA</t>
  </si>
  <si>
    <t>TARAIRA</t>
  </si>
  <si>
    <t>YAVARATE</t>
  </si>
  <si>
    <t>VICHADA</t>
  </si>
  <si>
    <t>CUMARIBO</t>
  </si>
  <si>
    <t>LA PRIMAVERA</t>
  </si>
  <si>
    <t>PUERTO CARRENO</t>
  </si>
  <si>
    <t>SANTA ROSALIA</t>
  </si>
  <si>
    <t>cod_mpio</t>
  </si>
  <si>
    <t>cod_depto</t>
  </si>
  <si>
    <t>mpio</t>
  </si>
  <si>
    <t>depto</t>
  </si>
  <si>
    <t>pct_subsidiado_2024</t>
  </si>
  <si>
    <t>ratio_subs_cont_2024</t>
  </si>
  <si>
    <t>aseguramiento_capado_2024</t>
  </si>
  <si>
    <t>pct_cont_2024</t>
  </si>
  <si>
    <t>log_total_afiliados_2024</t>
  </si>
  <si>
    <t>tasa_matriculacion_5_16</t>
  </si>
  <si>
    <t>cobertura_neta</t>
  </si>
  <si>
    <t>cobertura_neta_media</t>
  </si>
  <si>
    <t>desercion</t>
  </si>
  <si>
    <t>repitencia</t>
  </si>
  <si>
    <t>reprobacion</t>
  </si>
  <si>
    <t>Variable</t>
  </si>
  <si>
    <t>Tipo</t>
  </si>
  <si>
    <t>Nivel</t>
  </si>
  <si>
    <t>Descripción</t>
  </si>
  <si>
    <t>Fuente / Construcción</t>
  </si>
  <si>
    <t>¿Por qué sirve como covariable auxiliar? ¿Proxy de qué en IPM?</t>
  </si>
  <si>
    <t>texto (2 dígitos)</t>
  </si>
  <si>
    <t>Departamento</t>
  </si>
  <si>
    <t>Código DANE del departamento</t>
  </si>
  <si>
    <t>Derivado/estandarizado (DANE)</t>
  </si>
  <si>
    <t>Llave geográfica para unir fuentes y construir dominios ECV; no es proxy del IPM, es identificador.</t>
  </si>
  <si>
    <t>texto</t>
  </si>
  <si>
    <t>Nombre del departamento</t>
  </si>
  <si>
    <t>Fuente original</t>
  </si>
  <si>
    <t>Apoyo descriptivo y de control territorial; no es proxy del IPM, es identificador.</t>
  </si>
  <si>
    <t>texto (5 dígitos)</t>
  </si>
  <si>
    <t>Municipio</t>
  </si>
  <si>
    <t>Código DANE del municipio</t>
  </si>
  <si>
    <r>
      <t xml:space="preserve">Construido como </t>
    </r>
    <r>
      <rPr>
        <sz val="10"/>
        <color rgb="FF000000"/>
        <rFont val="Arial Unicode MS"/>
      </rPr>
      <t>cod_depto</t>
    </r>
    <r>
      <rPr>
        <sz val="11"/>
        <color rgb="FF000000"/>
        <rFont val="Calibri"/>
        <family val="2"/>
        <scheme val="minor"/>
      </rPr>
      <t xml:space="preserve"> + </t>
    </r>
    <r>
      <rPr>
        <sz val="10"/>
        <color rgb="FF000000"/>
        <rFont val="Arial Unicode MS"/>
      </rPr>
      <t>cod_municipio</t>
    </r>
  </si>
  <si>
    <t>Llave principal para integrar covariables y luego unir con shapefile/matriz W; no es proxy, es identificador.</t>
  </si>
  <si>
    <t>Nombre del municipio</t>
  </si>
  <si>
    <t>Apoyo descriptivo; no es proxy del IPM, es identificador.</t>
  </si>
  <si>
    <t>numérico (0–1 o 0–100)</t>
  </si>
  <si>
    <t>Proporción de afiliados en régimen subsidiado sobre el total de afiliados</t>
  </si>
  <si>
    <r>
      <t xml:space="preserve">BDUA 2024: </t>
    </r>
    <r>
      <rPr>
        <sz val="10"/>
        <color rgb="FF000000"/>
        <rFont val="Arial Unicode MS"/>
      </rPr>
      <t>Subs / (Subs+Cont+Exc)</t>
    </r>
  </si>
  <si>
    <r>
      <t>Proxy de vulnerabilidad socioeconómica</t>
    </r>
    <r>
      <rPr>
        <sz val="11"/>
        <color rgb="FF000000"/>
        <rFont val="Calibri"/>
        <family val="2"/>
        <scheme val="minor"/>
      </rPr>
      <t xml:space="preserve"> y precariedad: mayor dependencia del subsidio suele asociarse a mayores privaciones y mayor IPM. Relacionado con dimensiones de </t>
    </r>
    <r>
      <rPr>
        <b/>
        <sz val="11"/>
        <color rgb="FF000000"/>
        <rFont val="Calibri"/>
        <family val="2"/>
        <scheme val="minor"/>
      </rPr>
      <t>salud (aseguramiento)</t>
    </r>
    <r>
      <rPr>
        <sz val="11"/>
        <color rgb="FF000000"/>
        <rFont val="Calibri"/>
        <family val="2"/>
        <scheme val="minor"/>
      </rPr>
      <t xml:space="preserve"> y condiciones socioeconómicas que co-varían con vivienda/empleo.</t>
    </r>
  </si>
  <si>
    <t>Proporción de afiliados en régimen contributivo sobre el total de afiliados</t>
  </si>
  <si>
    <r>
      <t xml:space="preserve">BDUA 2024: </t>
    </r>
    <r>
      <rPr>
        <sz val="10"/>
        <color rgb="FF000000"/>
        <rFont val="Arial Unicode MS"/>
      </rPr>
      <t>Cont / (Subs+Cont+Exc)</t>
    </r>
  </si>
  <si>
    <r>
      <t>Proxy de formalidad/ingreso/capacidad de pago</t>
    </r>
    <r>
      <rPr>
        <sz val="11"/>
        <color rgb="FF000000"/>
        <rFont val="Calibri"/>
        <family val="2"/>
        <scheme val="minor"/>
      </rPr>
      <t xml:space="preserve">: mayor contributivo suele asociarse a menor vulnerabilidad y menor IPM. Vinculado indirectamente a privaciones de </t>
    </r>
    <r>
      <rPr>
        <b/>
        <sz val="11"/>
        <color rgb="FF000000"/>
        <rFont val="Calibri"/>
        <family val="2"/>
        <scheme val="minor"/>
      </rPr>
      <t>trabajo/ingresos</t>
    </r>
    <r>
      <rPr>
        <sz val="11"/>
        <color rgb="FF000000"/>
        <rFont val="Calibri"/>
        <family val="2"/>
        <scheme val="minor"/>
      </rPr>
      <t xml:space="preserve"> y condiciones de vida.</t>
    </r>
  </si>
  <si>
    <t>numérico (0–1)</t>
  </si>
  <si>
    <t>Cobertura aparente de aseguramiento: total afiliados / población, capada a 1 (100%)</t>
  </si>
  <si>
    <t>min((Subs+Cont+Exc)/Pob_2024, 1)</t>
  </si>
  <si>
    <r>
      <t>Proxy de acceso/cobertura en salud</t>
    </r>
    <r>
      <rPr>
        <sz val="11"/>
        <color rgb="FF000000"/>
        <rFont val="Calibri"/>
        <family val="2"/>
        <scheme val="minor"/>
      </rPr>
      <t xml:space="preserve"> evitando valores &gt;100%. Se asocia a la dimensión </t>
    </r>
    <r>
      <rPr>
        <b/>
        <sz val="11"/>
        <color rgb="FF000000"/>
        <rFont val="Calibri"/>
        <family val="2"/>
        <scheme val="minor"/>
      </rPr>
      <t>salud</t>
    </r>
    <r>
      <rPr>
        <sz val="11"/>
        <color rgb="FF000000"/>
        <rFont val="Calibri"/>
        <family val="2"/>
        <scheme val="minor"/>
      </rPr>
      <t xml:space="preserve"> (aseguramiento / acceso), y puede capturar brechas de protección social.</t>
    </r>
  </si>
  <si>
    <t>numérico (≥0)</t>
  </si>
  <si>
    <t>Razón subsidiado/contributivo (con ajuste para evitar división por cero)</t>
  </si>
  <si>
    <t>Subs/(Cont+1)</t>
  </si>
  <si>
    <r>
      <t>Proxy fuerte de vulnerabilidad vs formalidad</t>
    </r>
    <r>
      <rPr>
        <sz val="11"/>
        <color rgb="FF000000"/>
        <rFont val="Calibri"/>
        <family val="2"/>
        <scheme val="minor"/>
      </rPr>
      <t>: valores altos indican muchos subsidiados por cada contributivo, asociado a mayores privaciones y mayor IPM. Relacionado con gradientes socioeconómicos y condiciones de vida.</t>
    </r>
  </si>
  <si>
    <t>numérico</t>
  </si>
  <si>
    <t>Logaritmo natural del total de afiliados (+1)</t>
  </si>
  <si>
    <t>LN((Subs+Cont+Exc)+1)</t>
  </si>
  <si>
    <r>
      <t xml:space="preserve">Variable de </t>
    </r>
    <r>
      <rPr>
        <b/>
        <sz val="11"/>
        <color rgb="FF000000"/>
        <rFont val="Calibri"/>
        <family val="2"/>
        <scheme val="minor"/>
      </rPr>
      <t>escala/tamaño</t>
    </r>
    <r>
      <rPr>
        <sz val="11"/>
        <color rgb="FF000000"/>
        <rFont val="Calibri"/>
        <family val="2"/>
        <scheme val="minor"/>
      </rPr>
      <t xml:space="preserve"> que estabiliza la distribución y evita dominancia de ciudades grandes; puede capturar nivel de formalización administrativa y capacidad institucional. No es privación IPM directa, pero mejora ajuste del modelo como covariable de control.</t>
    </r>
  </si>
  <si>
    <t>Proporción (o tasa) de matrícula en población 5–16 años</t>
  </si>
  <si>
    <t>Fuente educativa municipal 2024</t>
  </si>
  <si>
    <r>
      <t>Proxy de asistencia/acceso escolar</t>
    </r>
    <r>
      <rPr>
        <sz val="11"/>
        <color rgb="FF000000"/>
        <rFont val="Calibri"/>
        <family val="2"/>
        <scheme val="minor"/>
      </rPr>
      <t xml:space="preserve"> en edad escolar, relacionado con privación de </t>
    </r>
    <r>
      <rPr>
        <b/>
        <sz val="11"/>
        <color rgb="FF000000"/>
        <rFont val="Calibri"/>
        <family val="2"/>
        <scheme val="minor"/>
      </rPr>
      <t>educación</t>
    </r>
    <r>
      <rPr>
        <sz val="11"/>
        <color rgb="FF000000"/>
        <rFont val="Calibri"/>
        <family val="2"/>
        <scheme val="minor"/>
      </rPr>
      <t xml:space="preserve"> (inasistencia escolar) y con permanencia en el sistema.</t>
    </r>
  </si>
  <si>
    <t>Cobertura neta educativa total (según definición MEN/DNP)</t>
  </si>
  <si>
    <r>
      <t>Proxy de acceso efectivo</t>
    </r>
    <r>
      <rPr>
        <sz val="11"/>
        <color rgb="FF000000"/>
        <rFont val="Calibri"/>
        <family val="2"/>
        <scheme val="minor"/>
      </rPr>
      <t xml:space="preserve"> al sistema educativo (matrícula en edades esperadas). Asociado a privaciones educativas y a acumulación de capital humano (menor IPM).</t>
    </r>
  </si>
  <si>
    <t>Cobertura neta en educación media</t>
  </si>
  <si>
    <r>
      <t>Proxy de permanencia y continuidad</t>
    </r>
    <r>
      <rPr>
        <sz val="11"/>
        <color rgb="FF000000"/>
        <rFont val="Calibri"/>
        <family val="2"/>
        <scheme val="minor"/>
      </rPr>
      <t xml:space="preserve"> hasta grados superiores; captura rezagos y abandono antes de media. Se asocia a privaciones educativas estructurales y oportunidades (menor IPM cuando es alta).</t>
    </r>
  </si>
  <si>
    <t>Tasa de deserción escolar</t>
  </si>
  <si>
    <r>
      <t>Proxy de ruptura educativa</t>
    </r>
    <r>
      <rPr>
        <sz val="11"/>
        <color rgb="FF000000"/>
        <rFont val="Calibri"/>
        <family val="2"/>
        <scheme val="minor"/>
      </rPr>
      <t xml:space="preserve"> (riesgo social/económico). Asociado a privación de </t>
    </r>
    <r>
      <rPr>
        <b/>
        <sz val="11"/>
        <color rgb="FF000000"/>
        <rFont val="Calibri"/>
        <family val="2"/>
        <scheme val="minor"/>
      </rPr>
      <t>educación</t>
    </r>
    <r>
      <rPr>
        <sz val="11"/>
        <color rgb="FF000000"/>
        <rFont val="Calibri"/>
        <family val="2"/>
        <scheme val="minor"/>
      </rPr>
      <t xml:space="preserve"> y a condiciones del hogar (trabajo infantil, pobreza, barreras de acceso), correlacionadas con IPM.</t>
    </r>
  </si>
  <si>
    <t>Tasa de repitencia escolar</t>
  </si>
  <si>
    <r>
      <t>Proxy de rezago escolar y dificultades de aprendizaje</t>
    </r>
    <r>
      <rPr>
        <sz val="11"/>
        <color rgb="FF000000"/>
        <rFont val="Calibri"/>
        <family val="2"/>
        <scheme val="minor"/>
      </rPr>
      <t>. Se asocia a privación educativa y a desventajas socioeconómicas que elevan IPM.</t>
    </r>
  </si>
  <si>
    <t>Tasa de reprobación escolar</t>
  </si>
  <si>
    <r>
      <t>Proxy de bajo desempeño y rezago</t>
    </r>
    <r>
      <rPr>
        <sz val="11"/>
        <color rgb="FF000000"/>
        <rFont val="Calibri"/>
        <family val="2"/>
        <scheme val="minor"/>
      </rPr>
      <t xml:space="preserve">; refleja barreras de calidad/apoyo educativo y condiciones del hogar. Se relaciona con dimensión de </t>
    </r>
    <r>
      <rPr>
        <b/>
        <sz val="11"/>
        <color rgb="FF000000"/>
        <rFont val="Calibri"/>
        <family val="2"/>
        <scheme val="minor"/>
      </rPr>
      <t>educación</t>
    </r>
    <r>
      <rPr>
        <sz val="11"/>
        <color rgb="FF000000"/>
        <rFont val="Calibri"/>
        <family val="2"/>
        <scheme val="minor"/>
      </rPr>
      <t xml:space="preserve"> y correlatos de pobreza multidimensional.</t>
    </r>
  </si>
  <si>
    <t>Cobertura_acueducto</t>
  </si>
  <si>
    <t>Cobertura_alcantarillado</t>
  </si>
  <si>
    <t>Cobertura_aseo</t>
  </si>
  <si>
    <t>infraestructura_basica</t>
  </si>
  <si>
    <t>Cobertura_energia_rural</t>
  </si>
  <si>
    <t>Tipo / escala</t>
  </si>
  <si>
    <t>Bloque</t>
  </si>
  <si>
    <t>Rol en la base</t>
  </si>
  <si>
    <t>Entera</t>
  </si>
  <si>
    <t>Identificación territorial</t>
  </si>
  <si>
    <t>Llave geográfica</t>
  </si>
  <si>
    <t>Texto</t>
  </si>
  <si>
    <t>Etiqueta descriptiva</t>
  </si>
  <si>
    <t>Porcentaje de afiliados al régimen subsidiado en 2024</t>
  </si>
  <si>
    <t>Continua (%)</t>
  </si>
  <si>
    <t>Salud</t>
  </si>
  <si>
    <t>Covariable auxiliar</t>
  </si>
  <si>
    <t>Porcentaje de afiliados al régimen contributivo en 2024</t>
  </si>
  <si>
    <t>Cobertura total de aseguramiento en salud ajustada mediante truncamiento superior</t>
  </si>
  <si>
    <t>Razón entre afiliados al régimen subsidiado y contributivo</t>
  </si>
  <si>
    <t>Continua</t>
  </si>
  <si>
    <t>Logaritmo natural del total de afiliados al sistema de salud</t>
  </si>
  <si>
    <t>Tasa de matriculación de población entre 5 y 16 años</t>
  </si>
  <si>
    <t>Educación</t>
  </si>
  <si>
    <t>Cobertura neta total del sistema educativo</t>
  </si>
  <si>
    <t>Cobertura municipal del servicio de acueducto</t>
  </si>
  <si>
    <t>Infraestructura básica</t>
  </si>
  <si>
    <t>Cobertura municipal del servicio de alcantarillado</t>
  </si>
  <si>
    <t>Cobertura municipal del servicio de aseo</t>
  </si>
  <si>
    <t>Índice compuesto calculado como el promedio simple de acueducto, alcantarillado y aseo</t>
  </si>
  <si>
    <t>Cobertura de energía eléctrica en zona rural</t>
  </si>
  <si>
    <t>log_mortalidad_infantil</t>
  </si>
  <si>
    <t>mortalidad_infantil</t>
  </si>
  <si>
    <t>luces_viirs_2024</t>
  </si>
  <si>
    <t>log_viirs_2024</t>
  </si>
  <si>
    <t>poblacion_2024</t>
  </si>
  <si>
    <t>Recaudo_ICA</t>
  </si>
  <si>
    <t>Rec_ICA_PC</t>
  </si>
  <si>
    <t>Nacidos_vivos</t>
  </si>
  <si>
    <t>Poblacion_5_a_16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</si>
</sst>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"/>
  </numFmts>
  <fonts count="8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Arial Unicode MS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 readingOrder="1"/>
    </xf>
    <xf numFmtId="0" fontId="0" fillId="3" borderId="1" xfId="0" applyFill="1" applyBorder="1"/>
    <xf numFmtId="0" fontId="5" fillId="3" borderId="1" xfId="0" applyFont="1" applyFill="1" applyBorder="1"/>
    <xf numFmtId="0" fontId="3" fillId="3" borderId="1" xfId="0" applyFont="1" applyFill="1" applyBorder="1"/>
    <xf numFmtId="0" fontId="4" fillId="0" borderId="1" xfId="0" applyFont="1" applyBorder="1" applyAlignment="1">
      <alignment vertical="top" wrapText="1" readingOrder="1"/>
    </xf>
    <xf numFmtId="164" fontId="3" fillId="0" borderId="1" xfId="0" applyNumberFormat="1" applyFont="1" applyBorder="1"/>
    <xf numFmtId="0" fontId="3" fillId="0" borderId="1" xfId="0" applyFont="1" applyBorder="1"/>
    <xf numFmtId="0" fontId="3" fillId="4" borderId="1" xfId="0" applyFont="1" applyFill="1" applyBorder="1"/>
    <xf numFmtId="164" fontId="3" fillId="0" borderId="1" xfId="1" applyNumberFormat="1" applyFont="1" applyBorder="1"/>
    <xf numFmtId="164" fontId="4" fillId="0" borderId="1" xfId="1" applyNumberFormat="1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7" fillId="5" borderId="2" xfId="0" applyFont="1" applyFill="1" applyBorder="1"/>
    <xf numFmtId="0" fontId="4" fillId="6" borderId="0" xfId="0" applyFont="1" applyFill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11" fontId="0" fillId="0" borderId="0" xfId="0" applyNumberFormat="1"/>
    <xf numFmtId="3" fontId="0" fillId="0" borderId="0" xfId="0" applyNumberFormat="1"/>
    <xf numFmtId="1" fontId="3" fillId="0" borderId="0" xfId="2" applyNumberFormat="1" applyFont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1CBA-CC64-4DED-8B48-12B10895C224}">
  <dimension ref="A1:AC1123"/>
  <sheetViews>
    <sheetView tabSelected="1" topLeftCell="J1" workbookViewId="0">
      <selection activeCell="U2" sqref="U2:U1123"/>
    </sheetView>
  </sheetViews>
  <sheetFormatPr baseColWidth="10" defaultRowHeight="15"/>
  <cols>
    <col min="1" max="2" width="11.42578125" style="1"/>
    <col min="3" max="3" width="21" style="1" customWidth="1"/>
    <col min="4" max="4" width="21.7109375" style="1" customWidth="1"/>
    <col min="5" max="6" width="13.7109375" style="1" customWidth="1"/>
    <col min="7" max="9" width="11.42578125" style="1"/>
    <col min="10" max="10" width="13.140625" style="1" customWidth="1"/>
    <col min="11" max="19" width="11.42578125" style="1"/>
    <col min="20" max="20" width="14.5703125" style="1" bestFit="1" customWidth="1"/>
    <col min="21" max="26" width="11.42578125" style="1"/>
    <col min="27" max="27" width="14.7109375" style="1" customWidth="1"/>
    <col min="28" max="28" width="15.7109375" style="1" customWidth="1"/>
    <col min="29" max="29" width="18.85546875" style="1" customWidth="1"/>
    <col min="30" max="16384" width="11.42578125" style="1"/>
  </cols>
  <sheetData>
    <row r="1" spans="1:29" ht="45">
      <c r="A1" s="6" t="s">
        <v>1061</v>
      </c>
      <c r="B1" s="6" t="s">
        <v>1063</v>
      </c>
      <c r="C1" s="6" t="s">
        <v>1060</v>
      </c>
      <c r="D1" s="6" t="s">
        <v>1062</v>
      </c>
      <c r="E1" s="7" t="s">
        <v>1064</v>
      </c>
      <c r="F1" s="8" t="s">
        <v>1067</v>
      </c>
      <c r="G1" s="8" t="s">
        <v>1066</v>
      </c>
      <c r="H1" s="7" t="s">
        <v>1065</v>
      </c>
      <c r="I1" s="7" t="s">
        <v>1068</v>
      </c>
      <c r="J1" s="9" t="s">
        <v>1069</v>
      </c>
      <c r="K1" s="9" t="s">
        <v>1070</v>
      </c>
      <c r="L1" s="9" t="s">
        <v>1071</v>
      </c>
      <c r="M1" s="10" t="s">
        <v>1072</v>
      </c>
      <c r="N1" s="11" t="s">
        <v>1073</v>
      </c>
      <c r="O1" s="11" t="s">
        <v>1074</v>
      </c>
      <c r="P1" s="15" t="s">
        <v>1129</v>
      </c>
      <c r="Q1" s="15" t="s">
        <v>1130</v>
      </c>
      <c r="R1" s="15" t="s">
        <v>1131</v>
      </c>
      <c r="S1" s="15" t="s">
        <v>1132</v>
      </c>
      <c r="T1" s="15" t="s">
        <v>1133</v>
      </c>
      <c r="U1" s="23" t="s">
        <v>1161</v>
      </c>
      <c r="V1" s="23" t="s">
        <v>1160</v>
      </c>
      <c r="W1" s="24" t="s">
        <v>1165</v>
      </c>
      <c r="X1" s="24" t="s">
        <v>1166</v>
      </c>
      <c r="Y1" t="s">
        <v>1162</v>
      </c>
      <c r="Z1" t="s">
        <v>1163</v>
      </c>
      <c r="AA1" t="s">
        <v>1164</v>
      </c>
      <c r="AB1" s="1" t="s">
        <v>1167</v>
      </c>
      <c r="AC1" s="1" t="s">
        <v>1168</v>
      </c>
    </row>
    <row r="2" spans="1:29">
      <c r="A2" s="12">
        <v>5</v>
      </c>
      <c r="B2" s="12" t="s">
        <v>12</v>
      </c>
      <c r="C2" s="12">
        <v>5001</v>
      </c>
      <c r="D2" s="12" t="s">
        <v>81</v>
      </c>
      <c r="E2" s="17">
        <v>0.3261895526140659</v>
      </c>
      <c r="F2" s="17">
        <v>0.67380647230044488</v>
      </c>
      <c r="G2" s="13">
        <v>1</v>
      </c>
      <c r="H2" s="13">
        <v>0.48409952361989883</v>
      </c>
      <c r="I2" s="14">
        <v>14.920371284421785</v>
      </c>
      <c r="J2" s="16">
        <v>0.93769999999999998</v>
      </c>
      <c r="K2" s="16">
        <v>0.93579999999999997</v>
      </c>
      <c r="L2" s="13">
        <v>0.56699999999999995</v>
      </c>
      <c r="M2" s="13">
        <v>3.1800000000000002E-2</v>
      </c>
      <c r="N2" s="13">
        <v>9.0800000000000006E-2</v>
      </c>
      <c r="O2" s="13">
        <v>8.0799999999999997E-2</v>
      </c>
      <c r="P2" s="16">
        <v>0.96750000000000003</v>
      </c>
      <c r="Q2" s="16">
        <v>0.96050000000000002</v>
      </c>
      <c r="R2" s="16"/>
      <c r="S2" s="16">
        <f t="shared" ref="S2:S65" si="0">+(P2+Q2+R2)/3</f>
        <v>0.64266666666666661</v>
      </c>
      <c r="T2" s="18">
        <v>1</v>
      </c>
      <c r="U2" s="1">
        <v>6.8447037699999997</v>
      </c>
      <c r="V2" s="1">
        <f t="shared" ref="V2:V65" si="1">LN(U2+1)</f>
        <v>2.0598386251151406</v>
      </c>
      <c r="W2" s="26"/>
      <c r="X2">
        <v>0.53680000000000005</v>
      </c>
      <c r="Y2" s="1">
        <v>20.777000000000001</v>
      </c>
      <c r="Z2" s="1">
        <v>3.0809000000000002</v>
      </c>
      <c r="AA2" s="29">
        <v>2524747</v>
      </c>
      <c r="AB2" s="1">
        <v>17824</v>
      </c>
      <c r="AC2" s="29">
        <v>375929</v>
      </c>
    </row>
    <row r="3" spans="1:29">
      <c r="A3" s="12">
        <v>5</v>
      </c>
      <c r="B3" s="12" t="s">
        <v>12</v>
      </c>
      <c r="C3" s="12">
        <v>5002</v>
      </c>
      <c r="D3" s="12" t="s">
        <v>13</v>
      </c>
      <c r="E3" s="17">
        <v>0.81196079582135106</v>
      </c>
      <c r="F3" s="17">
        <v>0.18803920417864897</v>
      </c>
      <c r="G3" s="13">
        <v>0.79369293832681198</v>
      </c>
      <c r="H3" s="13">
        <v>4.3166926677067083</v>
      </c>
      <c r="I3" s="14">
        <v>9.7433188003833067</v>
      </c>
      <c r="J3" s="16">
        <v>0.71089999999999998</v>
      </c>
      <c r="K3" s="16">
        <v>0.71089999999999998</v>
      </c>
      <c r="L3" s="13">
        <v>0.40160000000000001</v>
      </c>
      <c r="M3" s="13">
        <v>2.9000000000000001E-2</v>
      </c>
      <c r="N3" s="13">
        <v>9.5000000000000001E-2</v>
      </c>
      <c r="O3" s="13">
        <v>6.4600000000000005E-2</v>
      </c>
      <c r="P3" s="16">
        <v>0.15670000000000001</v>
      </c>
      <c r="Q3" s="16">
        <v>0.15670000000000001</v>
      </c>
      <c r="R3" s="16">
        <v>0.15670000000000001</v>
      </c>
      <c r="S3" s="16">
        <f t="shared" si="0"/>
        <v>0.15670000000000001</v>
      </c>
      <c r="T3" s="18">
        <v>0.81383689839572204</v>
      </c>
      <c r="U3" s="1">
        <v>15.7480315</v>
      </c>
      <c r="V3" s="1">
        <f t="shared" si="1"/>
        <v>2.8182807289767187</v>
      </c>
      <c r="W3" s="26"/>
      <c r="X3">
        <v>6.1800000000000001E-2</v>
      </c>
      <c r="Y3" s="1">
        <v>8.2500000000000004E-2</v>
      </c>
      <c r="Z3" s="1">
        <v>7.9299999999999995E-2</v>
      </c>
      <c r="AA3" s="1">
        <v>21121</v>
      </c>
      <c r="AB3" s="1">
        <v>127</v>
      </c>
      <c r="AC3" s="29">
        <v>3827</v>
      </c>
    </row>
    <row r="4" spans="1:29">
      <c r="A4" s="12">
        <v>5</v>
      </c>
      <c r="B4" s="12" t="s">
        <v>12</v>
      </c>
      <c r="C4" s="12">
        <v>5004</v>
      </c>
      <c r="D4" s="12" t="s">
        <v>14</v>
      </c>
      <c r="E4" s="17">
        <v>0.8348144276006273</v>
      </c>
      <c r="F4" s="17">
        <v>0.1651855723993727</v>
      </c>
      <c r="G4" s="13">
        <v>0.67005253940455345</v>
      </c>
      <c r="H4" s="13">
        <v>5.0378548895899051</v>
      </c>
      <c r="I4" s="14">
        <v>7.5569505720128998</v>
      </c>
      <c r="J4" s="16">
        <v>0.56110000000000004</v>
      </c>
      <c r="K4" s="16">
        <v>0.56110000000000004</v>
      </c>
      <c r="L4" s="13">
        <v>0.2651</v>
      </c>
      <c r="M4" s="13">
        <v>0</v>
      </c>
      <c r="N4" s="13">
        <v>8.4099999999999994E-2</v>
      </c>
      <c r="O4" s="13">
        <v>3.2000000000000002E-3</v>
      </c>
      <c r="P4" s="16">
        <v>0.57369999999999999</v>
      </c>
      <c r="Q4" s="16">
        <v>0.36049999999999999</v>
      </c>
      <c r="R4" s="16">
        <v>0.36049999999999999</v>
      </c>
      <c r="S4" s="16">
        <f t="shared" si="0"/>
        <v>0.43156666666666665</v>
      </c>
      <c r="T4" s="18">
        <v>0.8580562659846539</v>
      </c>
      <c r="U4" s="1">
        <v>0</v>
      </c>
      <c r="V4" s="1">
        <f t="shared" si="1"/>
        <v>0</v>
      </c>
      <c r="W4" s="25"/>
      <c r="X4">
        <v>2.7400000000000001E-2</v>
      </c>
      <c r="Y4" s="1">
        <v>2.0899999999999998E-2</v>
      </c>
      <c r="Z4" s="1">
        <v>2.07E-2</v>
      </c>
      <c r="AA4" s="1">
        <v>2810</v>
      </c>
      <c r="AB4" s="1">
        <v>6</v>
      </c>
      <c r="AC4" s="29">
        <v>529</v>
      </c>
    </row>
    <row r="5" spans="1:29">
      <c r="A5" s="12">
        <v>5</v>
      </c>
      <c r="B5" s="12" t="s">
        <v>12</v>
      </c>
      <c r="C5" s="12">
        <v>5021</v>
      </c>
      <c r="D5" s="12" t="s">
        <v>15</v>
      </c>
      <c r="E5" s="17">
        <v>0.84776277468890648</v>
      </c>
      <c r="F5" s="17">
        <v>0.15223722531109346</v>
      </c>
      <c r="G5" s="13">
        <v>0.76226034308779012</v>
      </c>
      <c r="H5" s="13">
        <v>5.5590277777777777</v>
      </c>
      <c r="I5" s="14">
        <v>8.2369500480614555</v>
      </c>
      <c r="J5" s="16">
        <v>0.78069999999999995</v>
      </c>
      <c r="K5" s="16">
        <v>0.78069999999999995</v>
      </c>
      <c r="L5" s="13">
        <v>0.6462</v>
      </c>
      <c r="M5" s="13">
        <v>1.4200000000000001E-2</v>
      </c>
      <c r="N5" s="13">
        <v>8.1100000000000005E-2</v>
      </c>
      <c r="O5" s="13">
        <v>5.9700000000000003E-2</v>
      </c>
      <c r="P5" s="16">
        <v>0.38829999999999998</v>
      </c>
      <c r="Q5" s="16">
        <v>0.38650000000000001</v>
      </c>
      <c r="R5" s="16">
        <v>0.38240000000000002</v>
      </c>
      <c r="S5" s="16">
        <f t="shared" si="0"/>
        <v>0.38573333333333332</v>
      </c>
      <c r="T5" s="18">
        <v>0.85826155050900499</v>
      </c>
      <c r="U5" s="1">
        <v>0</v>
      </c>
      <c r="V5" s="1">
        <f t="shared" si="1"/>
        <v>0</v>
      </c>
      <c r="W5" s="26"/>
      <c r="X5">
        <v>0.10440000000000001</v>
      </c>
      <c r="Y5" s="1">
        <v>0.1201</v>
      </c>
      <c r="Z5" s="1">
        <v>0.1134</v>
      </c>
      <c r="AA5" s="1">
        <v>5196</v>
      </c>
      <c r="AB5" s="1">
        <v>30</v>
      </c>
      <c r="AC5" s="29">
        <v>961</v>
      </c>
    </row>
    <row r="6" spans="1:29">
      <c r="A6" s="12">
        <v>5</v>
      </c>
      <c r="B6" s="12" t="s">
        <v>12</v>
      </c>
      <c r="C6" s="12">
        <v>5030</v>
      </c>
      <c r="D6" s="12" t="s">
        <v>16</v>
      </c>
      <c r="E6" s="17">
        <v>0.46423633849959978</v>
      </c>
      <c r="F6" s="17">
        <v>0.53576366150040022</v>
      </c>
      <c r="G6" s="13">
        <v>0.84801925212884122</v>
      </c>
      <c r="H6" s="13">
        <v>0.86643579819379368</v>
      </c>
      <c r="I6" s="14">
        <v>10.221468444611173</v>
      </c>
      <c r="J6" s="16">
        <v>0.77329999999999999</v>
      </c>
      <c r="K6" s="16">
        <v>0.77329999999999999</v>
      </c>
      <c r="L6" s="13">
        <v>0.39240000000000003</v>
      </c>
      <c r="M6" s="13">
        <v>5.04E-2</v>
      </c>
      <c r="N6" s="13">
        <v>0.104</v>
      </c>
      <c r="O6" s="13">
        <v>5.5599999999999997E-2</v>
      </c>
      <c r="P6" s="16">
        <v>0.82299999999999995</v>
      </c>
      <c r="Q6" s="16">
        <v>0.4642</v>
      </c>
      <c r="R6" s="16">
        <v>0.81930000000000003</v>
      </c>
      <c r="S6" s="16">
        <f t="shared" si="0"/>
        <v>0.70216666666666672</v>
      </c>
      <c r="T6" s="18">
        <v>0.87909748829289003</v>
      </c>
      <c r="U6" s="1">
        <v>5.0251256279999996</v>
      </c>
      <c r="V6" s="1">
        <f t="shared" si="1"/>
        <v>1.795938330279669</v>
      </c>
      <c r="W6" s="25"/>
      <c r="X6">
        <v>0.26679999999999998</v>
      </c>
      <c r="Y6" s="1">
        <v>1.8687</v>
      </c>
      <c r="Z6" s="1">
        <v>1.0539000000000001</v>
      </c>
      <c r="AA6" s="1">
        <v>32595</v>
      </c>
      <c r="AB6" s="1">
        <v>199</v>
      </c>
      <c r="AC6" s="29">
        <v>5457</v>
      </c>
    </row>
    <row r="7" spans="1:29">
      <c r="A7" s="12">
        <v>5</v>
      </c>
      <c r="B7" s="12" t="s">
        <v>12</v>
      </c>
      <c r="C7" s="12">
        <v>5031</v>
      </c>
      <c r="D7" s="12" t="s">
        <v>17</v>
      </c>
      <c r="E7" s="17">
        <v>0.86125542969082702</v>
      </c>
      <c r="F7" s="17">
        <v>0.138701984498765</v>
      </c>
      <c r="G7" s="13">
        <v>0.84328090210443152</v>
      </c>
      <c r="H7" s="13">
        <v>6.2074892572130143</v>
      </c>
      <c r="I7" s="14">
        <v>10.064032034093815</v>
      </c>
      <c r="J7" s="16">
        <v>0.68169999999999997</v>
      </c>
      <c r="K7" s="16">
        <v>0.68169999999999997</v>
      </c>
      <c r="L7" s="13">
        <v>0.3049</v>
      </c>
      <c r="M7" s="13">
        <v>6.0299999999999999E-2</v>
      </c>
      <c r="N7" s="13">
        <v>0.11509999999999999</v>
      </c>
      <c r="O7" s="13">
        <v>4.6800000000000001E-2</v>
      </c>
      <c r="P7" s="16">
        <v>0.60489999999999999</v>
      </c>
      <c r="Q7" s="16">
        <v>0.40240000000000004</v>
      </c>
      <c r="R7" s="16">
        <v>0.49420000000000003</v>
      </c>
      <c r="S7" s="16">
        <f t="shared" si="0"/>
        <v>0.50050000000000006</v>
      </c>
      <c r="T7" s="18">
        <v>0.82514779445202291</v>
      </c>
      <c r="U7" s="1">
        <v>13.33333333</v>
      </c>
      <c r="V7" s="1">
        <f t="shared" si="1"/>
        <v>2.6625878267928944</v>
      </c>
      <c r="W7" s="26"/>
      <c r="X7">
        <v>8.9800000000000005E-2</v>
      </c>
      <c r="Y7" s="1">
        <v>5.4800000000000001E-2</v>
      </c>
      <c r="Z7" s="1">
        <v>5.3400000000000003E-2</v>
      </c>
      <c r="AA7" s="1">
        <v>28716</v>
      </c>
      <c r="AB7" s="1">
        <v>225</v>
      </c>
      <c r="AC7" s="29">
        <v>6201</v>
      </c>
    </row>
    <row r="8" spans="1:29">
      <c r="A8" s="12">
        <v>5</v>
      </c>
      <c r="B8" s="12" t="s">
        <v>12</v>
      </c>
      <c r="C8" s="12">
        <v>5034</v>
      </c>
      <c r="D8" s="12" t="s">
        <v>18</v>
      </c>
      <c r="E8" s="17">
        <v>0.73535269325181785</v>
      </c>
      <c r="F8" s="17">
        <v>0.2646473067481821</v>
      </c>
      <c r="G8" s="13">
        <v>0.93501937942532964</v>
      </c>
      <c r="H8" s="13">
        <v>2.7783708110945842</v>
      </c>
      <c r="I8" s="14">
        <v>10.673202178264951</v>
      </c>
      <c r="J8" s="16">
        <v>0.77300000000000002</v>
      </c>
      <c r="K8" s="16">
        <v>0.77300000000000002</v>
      </c>
      <c r="L8" s="13">
        <v>0.39610000000000001</v>
      </c>
      <c r="M8" s="13">
        <v>4.3299999999999998E-2</v>
      </c>
      <c r="N8" s="13">
        <v>0.1066</v>
      </c>
      <c r="O8" s="13">
        <v>8.1000000000000003E-2</v>
      </c>
      <c r="P8" s="16">
        <v>0.62209999999999999</v>
      </c>
      <c r="Q8" s="16">
        <v>0.45350000000000001</v>
      </c>
      <c r="R8" s="16">
        <v>0.78890000000000005</v>
      </c>
      <c r="S8" s="16">
        <f t="shared" si="0"/>
        <v>0.62150000000000005</v>
      </c>
      <c r="T8" s="18">
        <v>0.97688825351441499</v>
      </c>
      <c r="U8" s="1">
        <v>6.2695924759999997</v>
      </c>
      <c r="V8" s="1">
        <f t="shared" si="1"/>
        <v>1.9837002344034167</v>
      </c>
      <c r="W8" s="25"/>
      <c r="X8">
        <v>0.1033</v>
      </c>
      <c r="Y8" s="1">
        <v>0.15959999999999999</v>
      </c>
      <c r="Z8" s="1">
        <v>0.14810000000000001</v>
      </c>
      <c r="AA8" s="1">
        <v>45212</v>
      </c>
      <c r="AB8" s="1">
        <v>319</v>
      </c>
      <c r="AC8" s="29">
        <v>8149</v>
      </c>
    </row>
    <row r="9" spans="1:29">
      <c r="A9" s="12">
        <v>5</v>
      </c>
      <c r="B9" s="12" t="s">
        <v>12</v>
      </c>
      <c r="C9" s="12">
        <v>5036</v>
      </c>
      <c r="D9" s="12" t="s">
        <v>19</v>
      </c>
      <c r="E9" s="17">
        <v>0.7110897281693529</v>
      </c>
      <c r="F9" s="17">
        <v>0.2889102718306471</v>
      </c>
      <c r="G9" s="13">
        <v>0.68047143558683909</v>
      </c>
      <c r="H9" s="13">
        <v>2.459234608985025</v>
      </c>
      <c r="I9" s="14">
        <v>8.3327894684179586</v>
      </c>
      <c r="J9" s="16">
        <v>0.8125</v>
      </c>
      <c r="K9" s="16">
        <v>0.8125</v>
      </c>
      <c r="L9" s="13">
        <v>0.3931</v>
      </c>
      <c r="M9" s="13">
        <v>9.7999999999999997E-3</v>
      </c>
      <c r="N9" s="13">
        <v>0.1125</v>
      </c>
      <c r="O9" s="13">
        <v>6.3600000000000004E-2</v>
      </c>
      <c r="P9" s="16">
        <v>0.3856</v>
      </c>
      <c r="Q9" s="16">
        <v>0.3856</v>
      </c>
      <c r="R9" s="16">
        <v>0.3861</v>
      </c>
      <c r="S9" s="16">
        <f t="shared" si="0"/>
        <v>0.38576666666666665</v>
      </c>
      <c r="T9" s="18">
        <v>1</v>
      </c>
      <c r="U9" s="1">
        <v>0</v>
      </c>
      <c r="V9" s="1">
        <f t="shared" si="1"/>
        <v>0</v>
      </c>
      <c r="W9" s="26"/>
      <c r="X9">
        <v>8.5599999999999996E-2</v>
      </c>
      <c r="Y9" s="1">
        <v>0.32</v>
      </c>
      <c r="Z9" s="1">
        <v>0.2777</v>
      </c>
      <c r="AA9" s="1">
        <v>6149</v>
      </c>
      <c r="AB9" s="1">
        <v>45</v>
      </c>
      <c r="AC9" s="29">
        <v>1102</v>
      </c>
    </row>
    <row r="10" spans="1:29">
      <c r="A10" s="12">
        <v>5</v>
      </c>
      <c r="B10" s="12" t="s">
        <v>12</v>
      </c>
      <c r="C10" s="12">
        <v>5038</v>
      </c>
      <c r="D10" s="12" t="s">
        <v>20</v>
      </c>
      <c r="E10" s="17">
        <v>0.90361220288227584</v>
      </c>
      <c r="F10" s="17">
        <v>9.6387797117724119E-2</v>
      </c>
      <c r="G10" s="13">
        <v>0.88161042818249324</v>
      </c>
      <c r="H10" s="13">
        <v>9.3656644034917562</v>
      </c>
      <c r="I10" s="14">
        <v>9.2767833285248962</v>
      </c>
      <c r="J10" s="16">
        <v>0.66490000000000005</v>
      </c>
      <c r="K10" s="16">
        <v>0.66490000000000005</v>
      </c>
      <c r="L10" s="13">
        <v>0.39800000000000002</v>
      </c>
      <c r="M10" s="13">
        <v>2.9600000000000001E-2</v>
      </c>
      <c r="N10" s="13">
        <v>5.3900000000000003E-2</v>
      </c>
      <c r="O10" s="13">
        <v>2.4899999999999999E-2</v>
      </c>
      <c r="P10" s="16">
        <v>0.72650000000000003</v>
      </c>
      <c r="Q10" s="16">
        <v>0.72650000000000003</v>
      </c>
      <c r="R10" s="16">
        <v>0.72650000000000003</v>
      </c>
      <c r="S10" s="16">
        <f t="shared" si="0"/>
        <v>0.72650000000000003</v>
      </c>
      <c r="T10" s="18">
        <v>1</v>
      </c>
      <c r="U10" s="1">
        <v>13.88888889</v>
      </c>
      <c r="V10" s="1">
        <f t="shared" si="1"/>
        <v>2.700615222689319</v>
      </c>
      <c r="W10" s="25"/>
      <c r="X10">
        <v>6.4899999999999999E-2</v>
      </c>
      <c r="Y10" s="1">
        <v>0.10929999999999999</v>
      </c>
      <c r="Z10" s="1">
        <v>0.1038</v>
      </c>
      <c r="AA10" s="1">
        <v>12413</v>
      </c>
      <c r="AB10" s="1">
        <v>72</v>
      </c>
      <c r="AC10" s="29">
        <v>2656</v>
      </c>
    </row>
    <row r="11" spans="1:29">
      <c r="A11" s="12">
        <v>5</v>
      </c>
      <c r="B11" s="12" t="s">
        <v>12</v>
      </c>
      <c r="C11" s="12">
        <v>5040</v>
      </c>
      <c r="D11" s="12" t="s">
        <v>21</v>
      </c>
      <c r="E11" s="17">
        <v>0.91584806810740016</v>
      </c>
      <c r="F11" s="17">
        <v>8.4151931892599868E-2</v>
      </c>
      <c r="G11" s="13">
        <v>0.93133418043202032</v>
      </c>
      <c r="H11" s="13">
        <v>10.876215165262476</v>
      </c>
      <c r="I11" s="14">
        <v>9.8160215267548523</v>
      </c>
      <c r="J11" s="16">
        <v>0.69630000000000003</v>
      </c>
      <c r="K11" s="16">
        <v>0.69630000000000003</v>
      </c>
      <c r="L11" s="13">
        <v>0.38129999999999997</v>
      </c>
      <c r="M11" s="13">
        <v>5.9400000000000001E-2</v>
      </c>
      <c r="N11" s="13">
        <v>6.3899999999999998E-2</v>
      </c>
      <c r="O11" s="13">
        <v>4.1200000000000001E-2</v>
      </c>
      <c r="P11" s="16">
        <v>0.36709999999999998</v>
      </c>
      <c r="Q11" s="16">
        <v>0.22320000000000001</v>
      </c>
      <c r="R11" s="16">
        <v>0.36709999999999998</v>
      </c>
      <c r="S11" s="16">
        <f t="shared" si="0"/>
        <v>0.31913333333333332</v>
      </c>
      <c r="T11" s="18">
        <v>0.73895169578622799</v>
      </c>
      <c r="U11" s="1">
        <v>5.4945054950000003</v>
      </c>
      <c r="V11" s="1">
        <f t="shared" si="1"/>
        <v>1.8709565109653903</v>
      </c>
      <c r="W11" s="26"/>
      <c r="X11">
        <v>0.1028</v>
      </c>
      <c r="Y11" s="1">
        <v>2.53E-2</v>
      </c>
      <c r="Z11" s="1">
        <v>2.5000000000000001E-2</v>
      </c>
      <c r="AA11" s="1">
        <v>20688</v>
      </c>
      <c r="AB11" s="1">
        <v>182</v>
      </c>
      <c r="AC11" s="29">
        <v>4909</v>
      </c>
    </row>
    <row r="12" spans="1:29" ht="25.5">
      <c r="A12" s="12">
        <v>5</v>
      </c>
      <c r="B12" s="12" t="s">
        <v>12</v>
      </c>
      <c r="C12" s="12">
        <v>5042</v>
      </c>
      <c r="D12" s="12" t="s">
        <v>22</v>
      </c>
      <c r="E12" s="17">
        <v>0.70586682505114495</v>
      </c>
      <c r="F12" s="17">
        <v>0.29413317494885499</v>
      </c>
      <c r="G12" s="13">
        <v>1</v>
      </c>
      <c r="H12" s="13">
        <v>2.3995513180033652</v>
      </c>
      <c r="I12" s="14">
        <v>10.319133987918043</v>
      </c>
      <c r="J12" s="16">
        <v>0.8921</v>
      </c>
      <c r="K12" s="16">
        <v>0.89190000000000003</v>
      </c>
      <c r="L12" s="13">
        <v>0.50660000000000005</v>
      </c>
      <c r="M12" s="13">
        <v>3.6700000000000003E-2</v>
      </c>
      <c r="N12" s="13">
        <v>0.1076</v>
      </c>
      <c r="O12" s="13">
        <v>7.6499999999999999E-2</v>
      </c>
      <c r="P12" s="16">
        <v>0.90780000000000005</v>
      </c>
      <c r="Q12" s="16">
        <v>0.60409999999999997</v>
      </c>
      <c r="R12" s="16">
        <v>0.89489999999999992</v>
      </c>
      <c r="S12" s="16">
        <f t="shared" si="0"/>
        <v>0.80226666666666668</v>
      </c>
      <c r="T12" s="18">
        <v>1</v>
      </c>
      <c r="U12" s="1">
        <v>7.7821011670000004</v>
      </c>
      <c r="V12" s="1">
        <f t="shared" si="1"/>
        <v>2.1727156918864274</v>
      </c>
      <c r="W12" s="25"/>
      <c r="X12">
        <v>0.37809999999999999</v>
      </c>
      <c r="Y12" s="1">
        <v>0.3085</v>
      </c>
      <c r="Z12" s="1">
        <v>0.26889999999999997</v>
      </c>
      <c r="AA12" s="1">
        <v>28130</v>
      </c>
      <c r="AB12" s="1">
        <v>257</v>
      </c>
      <c r="AC12" s="29">
        <v>5312</v>
      </c>
    </row>
    <row r="13" spans="1:29">
      <c r="A13" s="12">
        <v>5</v>
      </c>
      <c r="B13" s="12" t="s">
        <v>12</v>
      </c>
      <c r="C13" s="12">
        <v>5044</v>
      </c>
      <c r="D13" s="12" t="s">
        <v>23</v>
      </c>
      <c r="E13" s="17">
        <v>0.83794885384921158</v>
      </c>
      <c r="F13" s="17">
        <v>0.16205114615078839</v>
      </c>
      <c r="G13" s="13">
        <v>1</v>
      </c>
      <c r="H13" s="13">
        <v>5.166666666666667</v>
      </c>
      <c r="I13" s="14">
        <v>8.9290379064884409</v>
      </c>
      <c r="J13" s="16">
        <v>0.75229999999999997</v>
      </c>
      <c r="K13" s="16">
        <v>0.75229999999999997</v>
      </c>
      <c r="L13" s="13">
        <v>0.375</v>
      </c>
      <c r="M13" s="13">
        <v>2.1899999999999999E-2</v>
      </c>
      <c r="N13" s="13">
        <v>0.122</v>
      </c>
      <c r="O13" s="13">
        <v>5.4699999999999999E-2</v>
      </c>
      <c r="P13" s="16">
        <v>0.34009999999999996</v>
      </c>
      <c r="Q13" s="16">
        <v>0.13650000000000001</v>
      </c>
      <c r="R13" s="16">
        <v>0.13650000000000001</v>
      </c>
      <c r="S13" s="16">
        <f t="shared" si="0"/>
        <v>0.20436666666666667</v>
      </c>
      <c r="T13" s="18">
        <v>0.97026604068857591</v>
      </c>
      <c r="U13" s="1">
        <v>17.543859650000002</v>
      </c>
      <c r="V13" s="1">
        <f t="shared" si="1"/>
        <v>2.9201387180829914</v>
      </c>
      <c r="W13" s="26"/>
      <c r="X13">
        <v>6.7900000000000002E-2</v>
      </c>
      <c r="Y13" s="1">
        <v>3.5299999999999998E-2</v>
      </c>
      <c r="Z13" s="1">
        <v>3.4700000000000002E-2</v>
      </c>
      <c r="AA13" s="1">
        <v>7628</v>
      </c>
      <c r="AB13" s="1">
        <v>57</v>
      </c>
      <c r="AC13" s="29">
        <v>1645</v>
      </c>
    </row>
    <row r="14" spans="1:29">
      <c r="A14" s="12">
        <v>5</v>
      </c>
      <c r="B14" s="12" t="s">
        <v>12</v>
      </c>
      <c r="C14" s="12">
        <v>5045</v>
      </c>
      <c r="D14" s="12" t="s">
        <v>24</v>
      </c>
      <c r="E14" s="17">
        <v>0.4902589473025018</v>
      </c>
      <c r="F14" s="17">
        <v>0.50974105269749825</v>
      </c>
      <c r="G14" s="13">
        <v>1</v>
      </c>
      <c r="H14" s="13">
        <v>0.96176857209548028</v>
      </c>
      <c r="I14" s="14">
        <v>11.980964665989664</v>
      </c>
      <c r="J14" s="16">
        <v>0.88460000000000005</v>
      </c>
      <c r="K14" s="16">
        <v>0.88460000000000005</v>
      </c>
      <c r="L14" s="13">
        <v>0.57340000000000002</v>
      </c>
      <c r="M14" s="13">
        <v>4.8000000000000001E-2</v>
      </c>
      <c r="N14" s="13">
        <v>8.4699999999999998E-2</v>
      </c>
      <c r="O14" s="13">
        <v>5.3499999999999999E-2</v>
      </c>
      <c r="P14" s="16">
        <v>0.89480000000000004</v>
      </c>
      <c r="Q14" s="16">
        <v>0.87560000000000004</v>
      </c>
      <c r="R14" s="16">
        <v>0.82140000000000002</v>
      </c>
      <c r="S14" s="16">
        <f t="shared" si="0"/>
        <v>0.86393333333333333</v>
      </c>
      <c r="T14" s="18">
        <v>1</v>
      </c>
      <c r="U14" s="1">
        <v>11.66407465</v>
      </c>
      <c r="V14" s="1">
        <f t="shared" si="1"/>
        <v>2.5387692172233716</v>
      </c>
      <c r="W14" s="25"/>
      <c r="X14">
        <v>0.18759999999999999</v>
      </c>
      <c r="Y14" s="1">
        <v>0.747</v>
      </c>
      <c r="Z14" s="1">
        <v>0.55789999999999995</v>
      </c>
      <c r="AA14" s="1">
        <v>124423</v>
      </c>
      <c r="AB14" s="1">
        <v>1286</v>
      </c>
      <c r="AC14" s="29">
        <v>27582</v>
      </c>
    </row>
    <row r="15" spans="1:29">
      <c r="A15" s="12">
        <v>5</v>
      </c>
      <c r="B15" s="12" t="s">
        <v>12</v>
      </c>
      <c r="C15" s="12">
        <v>5051</v>
      </c>
      <c r="D15" s="12" t="s">
        <v>25</v>
      </c>
      <c r="E15" s="17">
        <v>0.87527041226280977</v>
      </c>
      <c r="F15" s="17">
        <v>0.12472958773719019</v>
      </c>
      <c r="G15" s="13">
        <v>1</v>
      </c>
      <c r="H15" s="13">
        <v>7.0156056477582363</v>
      </c>
      <c r="I15" s="14">
        <v>10.384647468346362</v>
      </c>
      <c r="J15" s="16">
        <v>0.86629999999999996</v>
      </c>
      <c r="K15" s="16">
        <v>0.86629999999999996</v>
      </c>
      <c r="L15" s="13">
        <v>0.45839999999999997</v>
      </c>
      <c r="M15" s="13">
        <v>4.1099999999999998E-2</v>
      </c>
      <c r="N15" s="13">
        <v>8.9200000000000002E-2</v>
      </c>
      <c r="O15" s="13">
        <v>3.3500000000000002E-2</v>
      </c>
      <c r="P15" s="16">
        <v>0.55409999999999993</v>
      </c>
      <c r="Q15" s="16">
        <v>0.55409999999999993</v>
      </c>
      <c r="R15" s="16">
        <v>0.55409999999999993</v>
      </c>
      <c r="S15" s="16">
        <f t="shared" si="0"/>
        <v>0.55409999999999993</v>
      </c>
      <c r="T15" s="18">
        <v>1</v>
      </c>
      <c r="U15" s="1">
        <v>15.673981189999999</v>
      </c>
      <c r="V15" s="1">
        <f t="shared" si="1"/>
        <v>2.813849491884151</v>
      </c>
      <c r="W15" s="26"/>
      <c r="X15">
        <v>5.33E-2</v>
      </c>
      <c r="Y15" s="1">
        <v>0.1231</v>
      </c>
      <c r="Z15" s="1">
        <v>0.11609999999999999</v>
      </c>
      <c r="AA15" s="1">
        <v>31449</v>
      </c>
      <c r="AB15" s="1">
        <v>319</v>
      </c>
      <c r="AC15" s="29">
        <v>7970</v>
      </c>
    </row>
    <row r="16" spans="1:29">
      <c r="A16" s="12">
        <v>5</v>
      </c>
      <c r="B16" s="12" t="s">
        <v>12</v>
      </c>
      <c r="C16" s="12">
        <v>5055</v>
      </c>
      <c r="D16" s="12" t="s">
        <v>26</v>
      </c>
      <c r="E16" s="17">
        <v>0.91895841636774278</v>
      </c>
      <c r="F16" s="17">
        <v>8.1041583632257205E-2</v>
      </c>
      <c r="G16" s="13">
        <v>0.93806081754735793</v>
      </c>
      <c r="H16" s="13">
        <v>11.320785597381342</v>
      </c>
      <c r="I16" s="14">
        <v>8.9263846812652154</v>
      </c>
      <c r="J16" s="16">
        <v>0.70279999999999998</v>
      </c>
      <c r="K16" s="16">
        <v>0.70279999999999998</v>
      </c>
      <c r="L16" s="13">
        <v>0.4758</v>
      </c>
      <c r="M16" s="13">
        <v>3.1300000000000001E-2</v>
      </c>
      <c r="N16" s="13">
        <v>5.6099999999999997E-2</v>
      </c>
      <c r="O16" s="13">
        <v>3.61E-2</v>
      </c>
      <c r="P16" s="16">
        <v>0.31929999999999997</v>
      </c>
      <c r="Q16" s="16">
        <v>0.31929999999999997</v>
      </c>
      <c r="R16" s="16">
        <v>0.31929999999999997</v>
      </c>
      <c r="S16" s="16">
        <f t="shared" si="0"/>
        <v>0.31929999999999997</v>
      </c>
      <c r="T16" s="18">
        <v>0.875440658049353</v>
      </c>
      <c r="U16" s="1">
        <v>20.408163269999999</v>
      </c>
      <c r="V16" s="1">
        <f t="shared" si="1"/>
        <v>3.0637723105049268</v>
      </c>
      <c r="W16" s="25"/>
      <c r="X16">
        <v>3.7400000000000003E-2</v>
      </c>
      <c r="Y16" s="1">
        <v>2.4799999999999999E-2</v>
      </c>
      <c r="Z16" s="1">
        <v>2.4500000000000001E-2</v>
      </c>
      <c r="AA16" s="1">
        <v>8170</v>
      </c>
      <c r="AB16" s="1">
        <v>49</v>
      </c>
      <c r="AC16" s="29">
        <v>1793</v>
      </c>
    </row>
    <row r="17" spans="1:29">
      <c r="A17" s="12">
        <v>5</v>
      </c>
      <c r="B17" s="12" t="s">
        <v>12</v>
      </c>
      <c r="C17" s="12">
        <v>5059</v>
      </c>
      <c r="D17" s="12" t="s">
        <v>27</v>
      </c>
      <c r="E17" s="17">
        <v>0.80691642651296835</v>
      </c>
      <c r="F17" s="17">
        <v>0.1930835734870317</v>
      </c>
      <c r="G17" s="13">
        <v>0.70632864544781648</v>
      </c>
      <c r="H17" s="13">
        <v>4.1734417344173442</v>
      </c>
      <c r="I17" s="14">
        <v>8.2474820042856933</v>
      </c>
      <c r="J17" s="16">
        <v>0.47649999999999998</v>
      </c>
      <c r="K17" s="16">
        <v>0.47649999999999998</v>
      </c>
      <c r="L17" s="13">
        <v>0.25580000000000003</v>
      </c>
      <c r="M17" s="13">
        <v>3.6400000000000002E-2</v>
      </c>
      <c r="N17" s="13">
        <v>9.8699999999999996E-2</v>
      </c>
      <c r="O17" s="13">
        <v>0</v>
      </c>
      <c r="P17" s="16">
        <v>1</v>
      </c>
      <c r="Q17" s="16">
        <v>0.89969999999999994</v>
      </c>
      <c r="R17" s="16">
        <v>0.9002</v>
      </c>
      <c r="S17" s="16">
        <f t="shared" si="0"/>
        <v>0.93330000000000002</v>
      </c>
      <c r="T17" s="18">
        <v>0.7134894091415831</v>
      </c>
      <c r="U17" s="1">
        <v>0</v>
      </c>
      <c r="V17" s="1">
        <f t="shared" si="1"/>
        <v>0</v>
      </c>
      <c r="W17" s="26"/>
      <c r="X17">
        <v>5.6000000000000001E-2</v>
      </c>
      <c r="Y17" s="1">
        <v>0.1716</v>
      </c>
      <c r="Z17" s="1">
        <v>0.15840000000000001</v>
      </c>
      <c r="AA17" s="1">
        <v>5308</v>
      </c>
      <c r="AB17" s="1">
        <v>20</v>
      </c>
      <c r="AC17" s="29">
        <v>832</v>
      </c>
    </row>
    <row r="18" spans="1:29">
      <c r="A18" s="12">
        <v>5</v>
      </c>
      <c r="B18" s="12" t="s">
        <v>12</v>
      </c>
      <c r="C18" s="12">
        <v>5079</v>
      </c>
      <c r="D18" s="12" t="s">
        <v>28</v>
      </c>
      <c r="E18" s="17">
        <v>0.4965899061221215</v>
      </c>
      <c r="F18" s="17">
        <v>0.50339003450212627</v>
      </c>
      <c r="G18" s="13">
        <v>0.88857993333689822</v>
      </c>
      <c r="H18" s="13">
        <v>0.98645202422696843</v>
      </c>
      <c r="I18" s="14">
        <v>10.816833954120833</v>
      </c>
      <c r="J18" s="16">
        <v>0.77629999999999999</v>
      </c>
      <c r="K18" s="16">
        <v>0.77629999999999999</v>
      </c>
      <c r="L18" s="13">
        <v>0.46960000000000002</v>
      </c>
      <c r="M18" s="13">
        <v>4.4200000000000003E-2</v>
      </c>
      <c r="N18" s="13">
        <v>8.9599999999999999E-2</v>
      </c>
      <c r="O18" s="13">
        <v>7.3700000000000002E-2</v>
      </c>
      <c r="P18" s="16">
        <v>0.99980000000000002</v>
      </c>
      <c r="Q18" s="16">
        <v>0.9887999999999999</v>
      </c>
      <c r="R18" s="16">
        <v>0.9887999999999999</v>
      </c>
      <c r="S18" s="16">
        <f t="shared" si="0"/>
        <v>0.99246666666666661</v>
      </c>
      <c r="T18" s="18">
        <v>0.84884365046392407</v>
      </c>
      <c r="U18" s="1">
        <v>0</v>
      </c>
      <c r="V18" s="1">
        <f t="shared" si="1"/>
        <v>0</v>
      </c>
      <c r="W18" s="25"/>
      <c r="X18">
        <v>0.26369999999999999</v>
      </c>
      <c r="Y18" s="1">
        <v>2.1017000000000001</v>
      </c>
      <c r="Z18" s="1">
        <v>1.1318999999999999</v>
      </c>
      <c r="AA18" s="1">
        <v>62506</v>
      </c>
      <c r="AB18" s="1">
        <v>309</v>
      </c>
      <c r="AC18" s="29">
        <v>10023</v>
      </c>
    </row>
    <row r="19" spans="1:29">
      <c r="A19" s="12">
        <v>5</v>
      </c>
      <c r="B19" s="12" t="s">
        <v>12</v>
      </c>
      <c r="C19" s="12">
        <v>5086</v>
      </c>
      <c r="D19" s="12" t="s">
        <v>30</v>
      </c>
      <c r="E19" s="17">
        <v>0.70610328638497655</v>
      </c>
      <c r="F19" s="17">
        <v>0.29389671361502345</v>
      </c>
      <c r="G19" s="13">
        <v>0.66510538641686179</v>
      </c>
      <c r="H19" s="13">
        <v>2.4006384676775738</v>
      </c>
      <c r="I19" s="14">
        <v>8.3572591534999123</v>
      </c>
      <c r="J19" s="16">
        <v>0.81579999999999997</v>
      </c>
      <c r="K19" s="16">
        <v>0.81579999999999997</v>
      </c>
      <c r="L19" s="13">
        <v>0.49330000000000002</v>
      </c>
      <c r="M19" s="13">
        <v>3.8800000000000001E-2</v>
      </c>
      <c r="N19" s="13">
        <v>8.0199999999999994E-2</v>
      </c>
      <c r="O19" s="13">
        <v>2.5000000000000001E-2</v>
      </c>
      <c r="P19" s="16">
        <v>0.54280000000000006</v>
      </c>
      <c r="Q19" s="16">
        <v>0.21609999999999999</v>
      </c>
      <c r="R19" s="16">
        <v>0.23280000000000001</v>
      </c>
      <c r="S19" s="16">
        <f t="shared" si="0"/>
        <v>0.33056666666666668</v>
      </c>
      <c r="T19" s="18">
        <v>1</v>
      </c>
      <c r="U19" s="1">
        <v>26.315789469999999</v>
      </c>
      <c r="V19" s="1">
        <f t="shared" si="1"/>
        <v>3.3074649038645734</v>
      </c>
      <c r="W19" s="25"/>
      <c r="X19">
        <v>9.4200000000000006E-2</v>
      </c>
      <c r="Y19" s="1">
        <v>8.3799999999999999E-2</v>
      </c>
      <c r="Z19" s="1">
        <v>8.0500000000000002E-2</v>
      </c>
      <c r="AA19" s="1">
        <v>6193</v>
      </c>
      <c r="AB19" s="1">
        <v>38</v>
      </c>
      <c r="AC19" s="29">
        <v>1341</v>
      </c>
    </row>
    <row r="20" spans="1:29">
      <c r="A20" s="12">
        <v>5</v>
      </c>
      <c r="B20" s="12" t="s">
        <v>12</v>
      </c>
      <c r="C20" s="12">
        <v>5088</v>
      </c>
      <c r="D20" s="12" t="s">
        <v>29</v>
      </c>
      <c r="E20" s="17">
        <v>0.31979593460360395</v>
      </c>
      <c r="F20" s="17">
        <v>0.680204065396396</v>
      </c>
      <c r="G20" s="13">
        <v>0.8875887977177398</v>
      </c>
      <c r="H20" s="13">
        <v>0.47014567507032284</v>
      </c>
      <c r="I20" s="14">
        <v>13.127909966599187</v>
      </c>
      <c r="J20" s="16">
        <v>0.8911</v>
      </c>
      <c r="K20" s="16">
        <v>0.89080000000000004</v>
      </c>
      <c r="L20" s="13">
        <v>0.4919</v>
      </c>
      <c r="M20" s="13">
        <v>3.9199999999999999E-2</v>
      </c>
      <c r="N20" s="13">
        <v>0.11409999999999999</v>
      </c>
      <c r="O20" s="13">
        <v>0.1135</v>
      </c>
      <c r="P20" s="16">
        <v>0.97840000000000005</v>
      </c>
      <c r="Q20" s="16">
        <v>0.97840000000000005</v>
      </c>
      <c r="R20" s="16">
        <v>0.98409999999999997</v>
      </c>
      <c r="S20" s="16">
        <f t="shared" si="0"/>
        <v>0.98030000000000006</v>
      </c>
      <c r="T20" s="18">
        <v>1</v>
      </c>
      <c r="U20" s="1">
        <v>5.4280779670000001</v>
      </c>
      <c r="V20" s="1">
        <f t="shared" si="1"/>
        <v>1.8606755770798651</v>
      </c>
      <c r="W20" s="26"/>
      <c r="X20">
        <v>0.185</v>
      </c>
      <c r="Y20" s="1">
        <v>7.9558</v>
      </c>
      <c r="Z20" s="1">
        <v>2.1922999999999999</v>
      </c>
      <c r="AA20" s="1">
        <v>593344</v>
      </c>
      <c r="AB20" s="1">
        <v>4053</v>
      </c>
      <c r="AC20" s="29">
        <v>94382</v>
      </c>
    </row>
    <row r="21" spans="1:29">
      <c r="A21" s="12">
        <v>5</v>
      </c>
      <c r="B21" s="12" t="s">
        <v>12</v>
      </c>
      <c r="C21" s="12">
        <v>5091</v>
      </c>
      <c r="D21" s="12" t="s">
        <v>31</v>
      </c>
      <c r="E21" s="17">
        <v>0.88113790970933825</v>
      </c>
      <c r="F21" s="17">
        <v>0.11886209029066172</v>
      </c>
      <c r="G21" s="13">
        <v>0.74228791773778924</v>
      </c>
      <c r="H21" s="13">
        <v>7.4054054054054053</v>
      </c>
      <c r="I21" s="14">
        <v>8.9978894502007165</v>
      </c>
      <c r="J21" s="16">
        <v>0.5796</v>
      </c>
      <c r="K21" s="16">
        <v>0.5796</v>
      </c>
      <c r="L21" s="13">
        <v>0.2949</v>
      </c>
      <c r="M21" s="13">
        <v>2.2100000000000002E-2</v>
      </c>
      <c r="N21" s="13">
        <v>9.1499999999999998E-2</v>
      </c>
      <c r="O21" s="13">
        <v>8.3900000000000002E-2</v>
      </c>
      <c r="P21" s="16">
        <v>1</v>
      </c>
      <c r="Q21" s="16">
        <v>1</v>
      </c>
      <c r="R21" s="16">
        <v>1</v>
      </c>
      <c r="S21" s="16">
        <f t="shared" si="0"/>
        <v>1</v>
      </c>
      <c r="T21" s="18">
        <v>0.88486055776892403</v>
      </c>
      <c r="U21" s="1">
        <v>0</v>
      </c>
      <c r="V21" s="1">
        <f t="shared" si="1"/>
        <v>0</v>
      </c>
      <c r="W21" s="26"/>
      <c r="X21">
        <v>4.3099999999999999E-2</v>
      </c>
      <c r="Y21" s="1">
        <v>9.5200000000000007E-2</v>
      </c>
      <c r="Z21" s="1">
        <v>9.0999999999999998E-2</v>
      </c>
      <c r="AA21" s="1">
        <v>10758</v>
      </c>
      <c r="AB21" s="1">
        <v>50</v>
      </c>
      <c r="AC21" s="29">
        <v>2251</v>
      </c>
    </row>
    <row r="22" spans="1:29">
      <c r="A22" s="12">
        <v>5</v>
      </c>
      <c r="B22" s="12" t="s">
        <v>12</v>
      </c>
      <c r="C22" s="12">
        <v>5093</v>
      </c>
      <c r="D22" s="12" t="s">
        <v>32</v>
      </c>
      <c r="E22" s="17">
        <v>0.92709757982993402</v>
      </c>
      <c r="F22" s="17">
        <v>7.2902420170065999E-2</v>
      </c>
      <c r="G22" s="13">
        <v>1</v>
      </c>
      <c r="H22" s="13">
        <v>12.706601466992666</v>
      </c>
      <c r="I22" s="14">
        <v>9.7302050203928427</v>
      </c>
      <c r="J22" s="16">
        <v>0.76629999999999998</v>
      </c>
      <c r="K22" s="16">
        <v>0.76629999999999998</v>
      </c>
      <c r="L22" s="13">
        <v>0.41099999999999998</v>
      </c>
      <c r="M22" s="13">
        <v>2.7199999999999998E-2</v>
      </c>
      <c r="N22" s="13">
        <v>9.8100000000000007E-2</v>
      </c>
      <c r="O22" s="13">
        <v>6.0999999999999999E-2</v>
      </c>
      <c r="P22" s="16">
        <v>0.28059999999999996</v>
      </c>
      <c r="Q22" s="16">
        <v>0.28059999999999996</v>
      </c>
      <c r="R22" s="16">
        <v>0.2838</v>
      </c>
      <c r="S22" s="16">
        <f t="shared" si="0"/>
        <v>0.28166666666666668</v>
      </c>
      <c r="T22" s="18">
        <v>1</v>
      </c>
      <c r="U22" s="1">
        <v>7.1428571429999996</v>
      </c>
      <c r="V22" s="1">
        <f t="shared" si="1"/>
        <v>2.0971411187967806</v>
      </c>
      <c r="W22" s="25"/>
      <c r="X22">
        <v>6.6600000000000006E-2</v>
      </c>
      <c r="Y22" s="1">
        <v>6.4799999999999996E-2</v>
      </c>
      <c r="Z22" s="1">
        <v>6.2799999999999995E-2</v>
      </c>
      <c r="AA22" s="1">
        <v>16861</v>
      </c>
      <c r="AB22" s="1">
        <v>140</v>
      </c>
      <c r="AC22" s="29">
        <v>3716</v>
      </c>
    </row>
    <row r="23" spans="1:29" ht="25.5">
      <c r="A23" s="12">
        <v>5</v>
      </c>
      <c r="B23" s="12" t="s">
        <v>12</v>
      </c>
      <c r="C23" s="12">
        <v>5101</v>
      </c>
      <c r="D23" s="12" t="s">
        <v>33</v>
      </c>
      <c r="E23" s="17">
        <v>0.75959645669291342</v>
      </c>
      <c r="F23" s="17">
        <v>0.2404035433070866</v>
      </c>
      <c r="G23" s="13">
        <v>1</v>
      </c>
      <c r="H23" s="13">
        <v>3.1592105263157895</v>
      </c>
      <c r="I23" s="14">
        <v>10.255868289551836</v>
      </c>
      <c r="J23" s="16">
        <v>0.73440000000000005</v>
      </c>
      <c r="K23" s="16">
        <v>0.73419999999999996</v>
      </c>
      <c r="L23" s="13">
        <v>0.3821</v>
      </c>
      <c r="M23" s="13">
        <v>7.4499999999999997E-2</v>
      </c>
      <c r="N23" s="13">
        <v>0.1163</v>
      </c>
      <c r="O23" s="13">
        <v>6.9900000000000004E-2</v>
      </c>
      <c r="P23" s="16">
        <v>0.70989999999999998</v>
      </c>
      <c r="Q23" s="16">
        <v>0.6604000000000001</v>
      </c>
      <c r="R23" s="16">
        <v>0.67130000000000001</v>
      </c>
      <c r="S23" s="16">
        <f t="shared" si="0"/>
        <v>0.68053333333333332</v>
      </c>
      <c r="T23" s="18">
        <v>1</v>
      </c>
      <c r="U23" s="1">
        <v>0</v>
      </c>
      <c r="V23" s="1">
        <f t="shared" si="1"/>
        <v>0</v>
      </c>
      <c r="W23" s="26"/>
      <c r="X23">
        <v>0.1021</v>
      </c>
      <c r="Y23" s="1">
        <v>0.23749999999999999</v>
      </c>
      <c r="Z23" s="1">
        <v>0.21310000000000001</v>
      </c>
      <c r="AA23" s="1">
        <v>27391</v>
      </c>
      <c r="AB23" s="1">
        <v>172</v>
      </c>
      <c r="AC23" s="29">
        <v>5019</v>
      </c>
    </row>
    <row r="24" spans="1:29">
      <c r="A24" s="12">
        <v>5</v>
      </c>
      <c r="B24" s="12" t="s">
        <v>12</v>
      </c>
      <c r="C24" s="12">
        <v>5107</v>
      </c>
      <c r="D24" s="12" t="s">
        <v>34</v>
      </c>
      <c r="E24" s="17">
        <v>0.9063750714694111</v>
      </c>
      <c r="F24" s="17">
        <v>9.3624928530588902E-2</v>
      </c>
      <c r="G24" s="13">
        <v>0.82083773319253783</v>
      </c>
      <c r="H24" s="13">
        <v>9.6661585365853657</v>
      </c>
      <c r="I24" s="14">
        <v>8.8532367647458976</v>
      </c>
      <c r="J24" s="16">
        <v>0.61070000000000002</v>
      </c>
      <c r="K24" s="16">
        <v>0.61070000000000002</v>
      </c>
      <c r="L24" s="13">
        <v>0.22800000000000001</v>
      </c>
      <c r="M24" s="13">
        <v>2.8000000000000001E-2</v>
      </c>
      <c r="N24" s="13">
        <v>6.7500000000000004E-2</v>
      </c>
      <c r="O24" s="13">
        <v>1.4E-2</v>
      </c>
      <c r="P24" s="16">
        <v>1</v>
      </c>
      <c r="Q24" s="16">
        <v>1</v>
      </c>
      <c r="R24" s="16">
        <v>1</v>
      </c>
      <c r="S24" s="16">
        <f t="shared" si="0"/>
        <v>1</v>
      </c>
      <c r="T24" s="18">
        <v>0.89547363509099398</v>
      </c>
      <c r="U24" s="1">
        <v>0</v>
      </c>
      <c r="V24" s="1">
        <f t="shared" si="1"/>
        <v>0</v>
      </c>
      <c r="W24" s="25"/>
      <c r="X24">
        <v>0.79459999999999997</v>
      </c>
      <c r="Y24" s="1">
        <v>0.14960000000000001</v>
      </c>
      <c r="Z24" s="1">
        <v>0.1394</v>
      </c>
      <c r="AA24" s="1">
        <v>8023</v>
      </c>
      <c r="AB24" s="1">
        <v>45</v>
      </c>
      <c r="AC24" s="29">
        <v>1936</v>
      </c>
    </row>
    <row r="25" spans="1:29">
      <c r="A25" s="12">
        <v>5</v>
      </c>
      <c r="B25" s="12" t="s">
        <v>12</v>
      </c>
      <c r="C25" s="12">
        <v>5113</v>
      </c>
      <c r="D25" s="12" t="s">
        <v>35</v>
      </c>
      <c r="E25" s="17">
        <v>0.79568329232833823</v>
      </c>
      <c r="F25" s="17">
        <v>0.20431670767166182</v>
      </c>
      <c r="G25" s="13">
        <v>0.89268243985225115</v>
      </c>
      <c r="H25" s="13">
        <v>3.8922319474835887</v>
      </c>
      <c r="I25" s="14">
        <v>9.0986263823461808</v>
      </c>
      <c r="J25" s="16">
        <v>0.80069999999999997</v>
      </c>
      <c r="K25" s="16">
        <v>0.80069999999999997</v>
      </c>
      <c r="L25" s="13">
        <v>0.31480000000000002</v>
      </c>
      <c r="M25" s="13">
        <v>8.0100000000000005E-2</v>
      </c>
      <c r="N25" s="13">
        <v>9.64E-2</v>
      </c>
      <c r="O25" s="13">
        <v>0.1167</v>
      </c>
      <c r="P25" s="16">
        <v>0.99010000000000009</v>
      </c>
      <c r="Q25" s="16">
        <v>0.94680000000000009</v>
      </c>
      <c r="R25" s="16">
        <v>0.98780000000000001</v>
      </c>
      <c r="S25" s="16">
        <f t="shared" si="0"/>
        <v>0.97489999999999999</v>
      </c>
      <c r="T25" s="18">
        <v>0.93364928909952594</v>
      </c>
      <c r="U25" s="1">
        <v>9.9009900989999995</v>
      </c>
      <c r="V25" s="1">
        <f t="shared" si="1"/>
        <v>2.3888536198805124</v>
      </c>
      <c r="W25" s="26"/>
      <c r="X25">
        <v>0.47799999999999998</v>
      </c>
      <c r="Y25" s="1">
        <v>0.29830000000000001</v>
      </c>
      <c r="Z25" s="1">
        <v>0.2611</v>
      </c>
      <c r="AA25" s="1">
        <v>10848</v>
      </c>
      <c r="AB25" s="1">
        <v>101</v>
      </c>
      <c r="AC25" s="29">
        <v>2400</v>
      </c>
    </row>
    <row r="26" spans="1:29">
      <c r="A26" s="12">
        <v>5</v>
      </c>
      <c r="B26" s="12" t="s">
        <v>12</v>
      </c>
      <c r="C26" s="12">
        <v>5120</v>
      </c>
      <c r="D26" s="12" t="s">
        <v>36</v>
      </c>
      <c r="E26" s="17">
        <v>0.94750714630433974</v>
      </c>
      <c r="F26" s="17">
        <v>5.2492853695660244E-2</v>
      </c>
      <c r="G26" s="13">
        <v>0.86447368421052628</v>
      </c>
      <c r="H26" s="13">
        <v>18.037455830388694</v>
      </c>
      <c r="I26" s="14">
        <v>10.201293208158759</v>
      </c>
      <c r="J26" s="16">
        <v>0.80330000000000001</v>
      </c>
      <c r="K26" s="16">
        <v>0.80330000000000001</v>
      </c>
      <c r="L26" s="13">
        <v>0.35499999999999998</v>
      </c>
      <c r="M26" s="13">
        <v>5.8000000000000003E-2</v>
      </c>
      <c r="N26" s="13">
        <v>0.12790000000000001</v>
      </c>
      <c r="O26" s="13">
        <v>3.2500000000000001E-2</v>
      </c>
      <c r="P26" s="16">
        <v>0.5101</v>
      </c>
      <c r="Q26" s="16">
        <v>0.5</v>
      </c>
      <c r="R26" s="16">
        <v>0.50719999999999998</v>
      </c>
      <c r="S26" s="16">
        <f t="shared" si="0"/>
        <v>0.5057666666666667</v>
      </c>
      <c r="T26" s="18">
        <v>0.84684910871202601</v>
      </c>
      <c r="U26" s="1">
        <v>10.989010990000001</v>
      </c>
      <c r="V26" s="1">
        <f t="shared" si="1"/>
        <v>2.483990479398714</v>
      </c>
      <c r="W26" s="25"/>
      <c r="X26">
        <v>2.23E-2</v>
      </c>
      <c r="Y26" s="1">
        <v>3.73E-2</v>
      </c>
      <c r="Z26" s="1">
        <v>3.6600000000000001E-2</v>
      </c>
      <c r="AA26" s="1">
        <v>29159</v>
      </c>
      <c r="AB26" s="1">
        <v>273</v>
      </c>
      <c r="AC26" s="29">
        <v>8056</v>
      </c>
    </row>
    <row r="27" spans="1:29">
      <c r="A27" s="12">
        <v>5</v>
      </c>
      <c r="B27" s="12" t="s">
        <v>12</v>
      </c>
      <c r="C27" s="12">
        <v>5125</v>
      </c>
      <c r="D27" s="12" t="s">
        <v>37</v>
      </c>
      <c r="E27" s="17">
        <v>0.92602506387638395</v>
      </c>
      <c r="F27" s="17">
        <v>7.385326682078111E-2</v>
      </c>
      <c r="G27" s="13">
        <v>0.92660653889515221</v>
      </c>
      <c r="H27" s="13">
        <v>12.518092105263158</v>
      </c>
      <c r="I27" s="14">
        <v>9.0143254880502255</v>
      </c>
      <c r="J27" s="16">
        <v>0.76759999999999995</v>
      </c>
      <c r="K27" s="16">
        <v>0.76759999999999995</v>
      </c>
      <c r="L27" s="13">
        <v>0.4526</v>
      </c>
      <c r="M27" s="13">
        <v>1.8599999999999998E-2</v>
      </c>
      <c r="N27" s="13">
        <v>8.2799999999999999E-2</v>
      </c>
      <c r="O27" s="13">
        <v>6.9000000000000006E-2</v>
      </c>
      <c r="P27" s="16">
        <v>0.7974</v>
      </c>
      <c r="Q27" s="16">
        <v>0.2263</v>
      </c>
      <c r="R27" s="16">
        <v>0.23</v>
      </c>
      <c r="S27" s="16">
        <f t="shared" si="0"/>
        <v>0.41789999999999999</v>
      </c>
      <c r="T27" s="18">
        <v>1</v>
      </c>
      <c r="U27" s="1">
        <v>16.129032259999999</v>
      </c>
      <c r="V27" s="1">
        <f t="shared" si="1"/>
        <v>2.8407748168697871</v>
      </c>
      <c r="W27" s="26"/>
      <c r="X27">
        <v>5.1499999999999997E-2</v>
      </c>
      <c r="Y27" s="1">
        <v>5.16E-2</v>
      </c>
      <c r="Z27" s="1">
        <v>5.0299999999999997E-2</v>
      </c>
      <c r="AA27" s="1">
        <v>9036</v>
      </c>
      <c r="AB27" s="1">
        <v>62</v>
      </c>
      <c r="AC27" s="29">
        <v>1980</v>
      </c>
    </row>
    <row r="28" spans="1:29">
      <c r="A28" s="12">
        <v>5</v>
      </c>
      <c r="B28" s="12" t="s">
        <v>12</v>
      </c>
      <c r="C28" s="12">
        <v>5129</v>
      </c>
      <c r="D28" s="12" t="s">
        <v>38</v>
      </c>
      <c r="E28" s="17">
        <v>0.26255330787386422</v>
      </c>
      <c r="F28" s="17">
        <v>0.73744669212613578</v>
      </c>
      <c r="G28" s="13">
        <v>1</v>
      </c>
      <c r="H28" s="13">
        <v>0.35602532932239944</v>
      </c>
      <c r="I28" s="14">
        <v>11.500042839139216</v>
      </c>
      <c r="J28" s="16">
        <v>0.92979999999999996</v>
      </c>
      <c r="K28" s="16">
        <v>0.92949999999999999</v>
      </c>
      <c r="L28" s="13">
        <v>0.56459999999999999</v>
      </c>
      <c r="M28" s="13">
        <v>4.9700000000000001E-2</v>
      </c>
      <c r="N28" s="13">
        <v>9.1999999999999998E-2</v>
      </c>
      <c r="O28" s="13">
        <v>8.3900000000000002E-2</v>
      </c>
      <c r="P28" s="16">
        <v>1</v>
      </c>
      <c r="Q28" s="16">
        <v>0.10880000000000001</v>
      </c>
      <c r="R28" s="16">
        <v>0.88260000000000005</v>
      </c>
      <c r="S28" s="16">
        <f t="shared" si="0"/>
        <v>0.66380000000000006</v>
      </c>
      <c r="T28" s="18">
        <v>1</v>
      </c>
      <c r="U28" s="1">
        <v>7.3126142600000001</v>
      </c>
      <c r="V28" s="1">
        <f t="shared" si="1"/>
        <v>2.117774151451413</v>
      </c>
      <c r="W28" s="25"/>
      <c r="X28">
        <v>0.2271</v>
      </c>
      <c r="Y28" s="1">
        <v>2.2824</v>
      </c>
      <c r="Z28" s="1">
        <v>1.1886000000000001</v>
      </c>
      <c r="AA28" s="1">
        <v>88316</v>
      </c>
      <c r="AB28" s="1">
        <v>547</v>
      </c>
      <c r="AC28" s="29">
        <v>12400</v>
      </c>
    </row>
    <row r="29" spans="1:29">
      <c r="A29" s="12">
        <v>5</v>
      </c>
      <c r="B29" s="12" t="s">
        <v>12</v>
      </c>
      <c r="C29" s="12">
        <v>5134</v>
      </c>
      <c r="D29" s="12" t="s">
        <v>39</v>
      </c>
      <c r="E29" s="17">
        <v>0.93756713211600429</v>
      </c>
      <c r="F29" s="17">
        <v>6.2432867883995706E-2</v>
      </c>
      <c r="G29" s="13">
        <v>0.76350589441312144</v>
      </c>
      <c r="H29" s="13">
        <v>14.984978540772532</v>
      </c>
      <c r="I29" s="14">
        <v>8.9158350741762771</v>
      </c>
      <c r="J29" s="16">
        <v>0.6371</v>
      </c>
      <c r="K29" s="16">
        <v>0.6371</v>
      </c>
      <c r="L29" s="13">
        <v>0.3231</v>
      </c>
      <c r="M29" s="13">
        <v>3.7400000000000003E-2</v>
      </c>
      <c r="N29" s="13">
        <v>6.88E-2</v>
      </c>
      <c r="O29" s="13">
        <v>5.5399999999999998E-2</v>
      </c>
      <c r="P29" s="16">
        <v>0.3654</v>
      </c>
      <c r="Q29" s="16">
        <v>0.2767</v>
      </c>
      <c r="R29" s="16">
        <v>0.25030000000000002</v>
      </c>
      <c r="S29" s="16">
        <f t="shared" si="0"/>
        <v>0.29746666666666671</v>
      </c>
      <c r="T29" s="18">
        <v>0.9981185324553149</v>
      </c>
      <c r="U29" s="1">
        <v>0</v>
      </c>
      <c r="V29" s="1">
        <f t="shared" si="1"/>
        <v>0</v>
      </c>
      <c r="W29" s="26"/>
      <c r="X29">
        <v>3.6499999999999998E-2</v>
      </c>
      <c r="Y29" s="1">
        <v>3.9300000000000002E-2</v>
      </c>
      <c r="Z29" s="1">
        <v>3.8600000000000002E-2</v>
      </c>
      <c r="AA29" s="1">
        <v>9940</v>
      </c>
      <c r="AB29" s="1">
        <v>59</v>
      </c>
      <c r="AC29" s="29">
        <v>2381</v>
      </c>
    </row>
    <row r="30" spans="1:29">
      <c r="A30" s="12">
        <v>5</v>
      </c>
      <c r="B30" s="12" t="s">
        <v>12</v>
      </c>
      <c r="C30" s="12">
        <v>5138</v>
      </c>
      <c r="D30" s="12" t="s">
        <v>40</v>
      </c>
      <c r="E30" s="17">
        <v>0.85080461267835039</v>
      </c>
      <c r="F30" s="17">
        <v>0.14919538732164961</v>
      </c>
      <c r="G30" s="13">
        <v>0.93757253680288311</v>
      </c>
      <c r="H30" s="13">
        <v>5.7001309471846353</v>
      </c>
      <c r="I30" s="14">
        <v>9.6388707530153432</v>
      </c>
      <c r="J30" s="16">
        <v>0.79590000000000005</v>
      </c>
      <c r="K30" s="16">
        <v>0.79590000000000005</v>
      </c>
      <c r="L30" s="13">
        <v>0.46810000000000002</v>
      </c>
      <c r="M30" s="13">
        <v>2.98E-2</v>
      </c>
      <c r="N30" s="13">
        <v>6.3399999999999998E-2</v>
      </c>
      <c r="O30" s="13">
        <v>5.6099999999999997E-2</v>
      </c>
      <c r="P30" s="16">
        <v>0.7349</v>
      </c>
      <c r="Q30" s="16">
        <v>0.50859999999999994</v>
      </c>
      <c r="R30" s="16">
        <v>0.50859999999999994</v>
      </c>
      <c r="S30" s="16">
        <f t="shared" si="0"/>
        <v>0.58403333333333329</v>
      </c>
      <c r="T30" s="18">
        <v>1</v>
      </c>
      <c r="U30" s="1">
        <v>35.714285709999999</v>
      </c>
      <c r="V30" s="1">
        <f t="shared" si="1"/>
        <v>3.6031659357231751</v>
      </c>
      <c r="W30" s="25"/>
      <c r="X30">
        <v>0.25469999999999998</v>
      </c>
      <c r="Y30" s="1">
        <v>0.1137</v>
      </c>
      <c r="Z30" s="1">
        <v>0.1077</v>
      </c>
      <c r="AA30" s="1">
        <v>15570</v>
      </c>
      <c r="AB30" s="1">
        <v>112</v>
      </c>
      <c r="AC30" s="29">
        <v>3187</v>
      </c>
    </row>
    <row r="31" spans="1:29">
      <c r="A31" s="12">
        <v>5</v>
      </c>
      <c r="B31" s="12" t="s">
        <v>12</v>
      </c>
      <c r="C31" s="12">
        <v>5142</v>
      </c>
      <c r="D31" s="12" t="s">
        <v>41</v>
      </c>
      <c r="E31" s="17">
        <v>0.82116451016635861</v>
      </c>
      <c r="F31" s="17">
        <v>0.17883548983364139</v>
      </c>
      <c r="G31" s="13">
        <v>0.89718076285240467</v>
      </c>
      <c r="H31" s="13">
        <v>4.5858064516129033</v>
      </c>
      <c r="I31" s="14">
        <v>8.3730918474419802</v>
      </c>
      <c r="J31" s="16">
        <v>0.82389999999999997</v>
      </c>
      <c r="K31" s="16">
        <v>0.82389999999999997</v>
      </c>
      <c r="L31" s="13">
        <v>0.60499999999999998</v>
      </c>
      <c r="M31" s="13">
        <v>3.27E-2</v>
      </c>
      <c r="N31" s="13">
        <v>5.6500000000000002E-2</v>
      </c>
      <c r="O31" s="13">
        <v>3.7100000000000001E-2</v>
      </c>
      <c r="P31" s="16">
        <v>0.90610000000000002</v>
      </c>
      <c r="Q31" s="16">
        <v>0.51929999999999998</v>
      </c>
      <c r="R31" s="16">
        <v>0.51929999999999998</v>
      </c>
      <c r="S31" s="16">
        <f t="shared" si="0"/>
        <v>0.64823333333333333</v>
      </c>
      <c r="T31" s="18">
        <v>0.75587703435804698</v>
      </c>
      <c r="U31" s="1">
        <v>0</v>
      </c>
      <c r="V31" s="1">
        <f t="shared" si="1"/>
        <v>0</v>
      </c>
      <c r="W31" s="26"/>
      <c r="X31">
        <v>0.09</v>
      </c>
      <c r="Y31" s="1">
        <v>3.1399999999999997E-2</v>
      </c>
      <c r="Z31" s="1">
        <v>3.09E-2</v>
      </c>
      <c r="AA31" s="1">
        <v>4538</v>
      </c>
      <c r="AB31" s="1">
        <v>28</v>
      </c>
      <c r="AC31" s="29">
        <v>761</v>
      </c>
    </row>
    <row r="32" spans="1:29">
      <c r="A32" s="12">
        <v>5</v>
      </c>
      <c r="B32" s="12" t="s">
        <v>12</v>
      </c>
      <c r="C32" s="12">
        <v>5145</v>
      </c>
      <c r="D32" s="12" t="s">
        <v>42</v>
      </c>
      <c r="E32" s="17">
        <v>0.82801605746883589</v>
      </c>
      <c r="F32" s="17">
        <v>0.17198394253116417</v>
      </c>
      <c r="G32" s="13">
        <v>0.95596849121389615</v>
      </c>
      <c r="H32" s="13">
        <v>4.8085889570552149</v>
      </c>
      <c r="I32" s="14">
        <v>8.4625257900739292</v>
      </c>
      <c r="J32" s="16">
        <v>0.78939999999999999</v>
      </c>
      <c r="K32" s="16">
        <v>0.78939999999999999</v>
      </c>
      <c r="L32" s="13">
        <v>0.55810000000000004</v>
      </c>
      <c r="M32" s="13">
        <v>2.24E-2</v>
      </c>
      <c r="N32" s="13">
        <v>4.9700000000000001E-2</v>
      </c>
      <c r="O32" s="13">
        <v>2.8799999999999999E-2</v>
      </c>
      <c r="P32" s="16">
        <v>0.55000000000000004</v>
      </c>
      <c r="Q32" s="16">
        <v>0.50490000000000002</v>
      </c>
      <c r="R32" s="16">
        <v>0.40090000000000003</v>
      </c>
      <c r="S32" s="16">
        <f t="shared" si="0"/>
        <v>0.48526666666666668</v>
      </c>
      <c r="T32" s="18">
        <v>0.94449116904962094</v>
      </c>
      <c r="U32" s="1">
        <v>0</v>
      </c>
      <c r="V32" s="1">
        <f t="shared" si="1"/>
        <v>0</v>
      </c>
      <c r="W32" s="25"/>
      <c r="X32">
        <v>0.1173</v>
      </c>
      <c r="Y32" s="1">
        <v>0.155</v>
      </c>
      <c r="Z32" s="1">
        <v>0.14410000000000001</v>
      </c>
      <c r="AA32" s="1">
        <v>4556</v>
      </c>
      <c r="AB32" s="1">
        <v>31</v>
      </c>
      <c r="AC32" s="29">
        <v>745</v>
      </c>
    </row>
    <row r="33" spans="1:29">
      <c r="A33" s="12">
        <v>5</v>
      </c>
      <c r="B33" s="12" t="s">
        <v>12</v>
      </c>
      <c r="C33" s="12">
        <v>5147</v>
      </c>
      <c r="D33" s="12" t="s">
        <v>43</v>
      </c>
      <c r="E33" s="17">
        <v>0.58183031670612917</v>
      </c>
      <c r="F33" s="17">
        <v>0.41816968329387089</v>
      </c>
      <c r="G33" s="13">
        <v>1</v>
      </c>
      <c r="H33" s="13">
        <v>1.3913208694330446</v>
      </c>
      <c r="I33" s="14">
        <v>11.049778276520978</v>
      </c>
      <c r="J33" s="16">
        <v>0.87319999999999998</v>
      </c>
      <c r="K33" s="16">
        <v>0.87319999999999998</v>
      </c>
      <c r="L33" s="13">
        <v>0.50149999999999995</v>
      </c>
      <c r="M33" s="13">
        <v>3.0700000000000002E-2</v>
      </c>
      <c r="N33" s="13">
        <v>7.7399999999999997E-2</v>
      </c>
      <c r="O33" s="13">
        <v>6.3399999999999998E-2</v>
      </c>
      <c r="P33" s="16">
        <v>0.80540000000000012</v>
      </c>
      <c r="Q33" s="16">
        <v>0.80540000000000012</v>
      </c>
      <c r="R33" s="16">
        <v>0.77390000000000003</v>
      </c>
      <c r="S33" s="16">
        <f t="shared" si="0"/>
        <v>0.79490000000000016</v>
      </c>
      <c r="T33" s="18">
        <v>1</v>
      </c>
      <c r="U33" s="1">
        <v>7.0546737210000003</v>
      </c>
      <c r="V33" s="1">
        <f t="shared" si="1"/>
        <v>2.0862525094149871</v>
      </c>
      <c r="W33" s="26"/>
      <c r="X33">
        <v>0.1825</v>
      </c>
      <c r="Y33" s="1">
        <v>0.48430000000000001</v>
      </c>
      <c r="Z33" s="1">
        <v>0.39489999999999997</v>
      </c>
      <c r="AA33" s="1">
        <v>50543</v>
      </c>
      <c r="AB33" s="1">
        <v>567</v>
      </c>
      <c r="AC33" s="29">
        <v>12247</v>
      </c>
    </row>
    <row r="34" spans="1:29">
      <c r="A34" s="12">
        <v>5</v>
      </c>
      <c r="B34" s="12" t="s">
        <v>12</v>
      </c>
      <c r="C34" s="12">
        <v>5148</v>
      </c>
      <c r="D34" s="12" t="s">
        <v>44</v>
      </c>
      <c r="E34" s="17">
        <v>0.36569741254191485</v>
      </c>
      <c r="F34" s="17">
        <v>0.63428590494302917</v>
      </c>
      <c r="G34" s="13">
        <v>0.93274721854819886</v>
      </c>
      <c r="H34" s="13">
        <v>0.57653463784124981</v>
      </c>
      <c r="I34" s="14">
        <v>11.001166072044146</v>
      </c>
      <c r="J34" s="16">
        <v>0.9294</v>
      </c>
      <c r="K34" s="16">
        <v>0.92849999999999999</v>
      </c>
      <c r="L34" s="13">
        <v>0.51239999999999997</v>
      </c>
      <c r="M34" s="13">
        <v>3.5499999999999997E-2</v>
      </c>
      <c r="N34" s="13">
        <v>9.1499999999999998E-2</v>
      </c>
      <c r="O34" s="13">
        <v>0.1067</v>
      </c>
      <c r="P34" s="16">
        <v>0.99199999999999999</v>
      </c>
      <c r="Q34" s="16">
        <v>0.6845</v>
      </c>
      <c r="R34" s="16">
        <v>0.68540000000000001</v>
      </c>
      <c r="S34" s="16">
        <f t="shared" si="0"/>
        <v>0.7873</v>
      </c>
      <c r="T34" s="18">
        <v>1</v>
      </c>
      <c r="U34" s="1">
        <v>5.6925996200000002</v>
      </c>
      <c r="V34" s="1">
        <f t="shared" si="1"/>
        <v>1.9010023816209727</v>
      </c>
      <c r="W34" s="25"/>
      <c r="X34">
        <v>0.2646</v>
      </c>
      <c r="Y34" s="1">
        <v>1.6709000000000001</v>
      </c>
      <c r="Z34" s="1">
        <v>0.98240000000000005</v>
      </c>
      <c r="AA34" s="1">
        <v>68325</v>
      </c>
      <c r="AB34" s="1">
        <v>527</v>
      </c>
      <c r="AC34" s="29">
        <v>12351</v>
      </c>
    </row>
    <row r="35" spans="1:29">
      <c r="A35" s="12">
        <v>5</v>
      </c>
      <c r="B35" s="12" t="s">
        <v>12</v>
      </c>
      <c r="C35" s="12">
        <v>5150</v>
      </c>
      <c r="D35" s="12" t="s">
        <v>45</v>
      </c>
      <c r="E35" s="17">
        <v>0.64129400570884876</v>
      </c>
      <c r="F35" s="17">
        <v>0.3587059942911513</v>
      </c>
      <c r="G35" s="13">
        <v>0.74733349134866078</v>
      </c>
      <c r="H35" s="13">
        <v>1.7862190812720848</v>
      </c>
      <c r="I35" s="14">
        <v>8.0564267675229839</v>
      </c>
      <c r="J35" s="16">
        <v>0.84330000000000005</v>
      </c>
      <c r="K35" s="16">
        <v>0.84330000000000005</v>
      </c>
      <c r="L35" s="13">
        <v>0.3458</v>
      </c>
      <c r="M35" s="13">
        <v>2.4E-2</v>
      </c>
      <c r="N35" s="13">
        <v>0.128</v>
      </c>
      <c r="O35" s="13">
        <v>8.5999999999999993E-2</v>
      </c>
      <c r="P35" s="16">
        <v>1</v>
      </c>
      <c r="Q35" s="16">
        <v>0.9326000000000001</v>
      </c>
      <c r="R35" s="16">
        <v>0.9326000000000001</v>
      </c>
      <c r="S35" s="16">
        <f t="shared" si="0"/>
        <v>0.95506666666666673</v>
      </c>
      <c r="T35" s="18">
        <v>0.914572864321608</v>
      </c>
      <c r="U35" s="1">
        <v>0</v>
      </c>
      <c r="V35" s="1">
        <f t="shared" si="1"/>
        <v>0</v>
      </c>
      <c r="W35" s="26"/>
      <c r="X35">
        <v>0.12859999999999999</v>
      </c>
      <c r="Y35" s="1">
        <v>0.20619999999999999</v>
      </c>
      <c r="Z35" s="1">
        <v>0.1875</v>
      </c>
      <c r="AA35" s="1">
        <v>3947</v>
      </c>
      <c r="AB35" s="1">
        <v>13</v>
      </c>
      <c r="AC35" s="29">
        <v>563</v>
      </c>
    </row>
    <row r="36" spans="1:29">
      <c r="A36" s="12">
        <v>5</v>
      </c>
      <c r="B36" s="12" t="s">
        <v>12</v>
      </c>
      <c r="C36" s="12">
        <v>5154</v>
      </c>
      <c r="D36" s="12" t="s">
        <v>46</v>
      </c>
      <c r="E36" s="17">
        <v>0.81328659898661537</v>
      </c>
      <c r="F36" s="17">
        <v>0.18669523999782067</v>
      </c>
      <c r="G36" s="13">
        <v>1</v>
      </c>
      <c r="H36" s="13">
        <v>4.3560138125577552</v>
      </c>
      <c r="I36" s="14">
        <v>11.609389524254045</v>
      </c>
      <c r="J36" s="16">
        <v>0.87360000000000004</v>
      </c>
      <c r="K36" s="16">
        <v>0.87319999999999998</v>
      </c>
      <c r="L36" s="13">
        <v>0.48920000000000002</v>
      </c>
      <c r="M36" s="13">
        <v>3.9600000000000003E-2</v>
      </c>
      <c r="N36" s="13">
        <v>0.1021</v>
      </c>
      <c r="O36" s="13">
        <v>8.5999999999999993E-2</v>
      </c>
      <c r="P36" s="16">
        <v>0.78339999999999999</v>
      </c>
      <c r="Q36" s="16">
        <v>0.76989999999999992</v>
      </c>
      <c r="R36" s="16">
        <v>0.65079999999999993</v>
      </c>
      <c r="S36" s="16">
        <f t="shared" si="0"/>
        <v>0.73470000000000002</v>
      </c>
      <c r="T36" s="18">
        <v>1</v>
      </c>
      <c r="U36" s="1">
        <v>9.5658572480000004</v>
      </c>
      <c r="V36" s="1">
        <f t="shared" si="1"/>
        <v>2.3576277881454617</v>
      </c>
      <c r="W36" s="25"/>
      <c r="X36">
        <v>0.1431</v>
      </c>
      <c r="Y36" s="1">
        <v>0.2606</v>
      </c>
      <c r="Z36" s="1">
        <v>0.2316</v>
      </c>
      <c r="AA36" s="1">
        <v>93572</v>
      </c>
      <c r="AB36" s="1">
        <v>1359</v>
      </c>
      <c r="AC36" s="29">
        <v>22012</v>
      </c>
    </row>
    <row r="37" spans="1:29">
      <c r="A37" s="12">
        <v>5</v>
      </c>
      <c r="B37" s="12" t="s">
        <v>12</v>
      </c>
      <c r="C37" s="12">
        <v>5172</v>
      </c>
      <c r="D37" s="12" t="s">
        <v>47</v>
      </c>
      <c r="E37" s="17">
        <v>0.60912802785501363</v>
      </c>
      <c r="F37" s="17">
        <v>0.39087197214498637</v>
      </c>
      <c r="G37" s="13">
        <v>1</v>
      </c>
      <c r="H37" s="13">
        <v>1.5583325322823545</v>
      </c>
      <c r="I37" s="14">
        <v>11.287817485429718</v>
      </c>
      <c r="J37" s="16">
        <v>0.86780000000000002</v>
      </c>
      <c r="K37" s="16">
        <v>0.86780000000000002</v>
      </c>
      <c r="L37" s="13">
        <v>0.52859999999999996</v>
      </c>
      <c r="M37" s="13">
        <v>5.4800000000000001E-2</v>
      </c>
      <c r="N37" s="13">
        <v>7.1900000000000006E-2</v>
      </c>
      <c r="O37" s="13">
        <v>3.95E-2</v>
      </c>
      <c r="P37" s="16">
        <v>0.71479999999999999</v>
      </c>
      <c r="Q37" s="16">
        <v>0.71200000000000008</v>
      </c>
      <c r="R37" s="16">
        <v>0.82700000000000007</v>
      </c>
      <c r="S37" s="16">
        <f t="shared" si="0"/>
        <v>0.75126666666666664</v>
      </c>
      <c r="T37" s="18">
        <v>1</v>
      </c>
      <c r="U37" s="1">
        <v>8.9171974519999999</v>
      </c>
      <c r="V37" s="1">
        <f t="shared" si="1"/>
        <v>2.2942703664625688</v>
      </c>
      <c r="W37" s="26"/>
      <c r="X37">
        <v>0.1076</v>
      </c>
      <c r="Y37" s="1">
        <v>0.2087</v>
      </c>
      <c r="Z37" s="1">
        <v>0.18959999999999999</v>
      </c>
      <c r="AA37" s="1">
        <v>56758</v>
      </c>
      <c r="AB37" s="1">
        <v>785</v>
      </c>
      <c r="AC37" s="29">
        <v>13744</v>
      </c>
    </row>
    <row r="38" spans="1:29">
      <c r="A38" s="12">
        <v>5</v>
      </c>
      <c r="B38" s="12" t="s">
        <v>12</v>
      </c>
      <c r="C38" s="12">
        <v>5190</v>
      </c>
      <c r="D38" s="12" t="s">
        <v>48</v>
      </c>
      <c r="E38" s="17">
        <v>0.70311655557557196</v>
      </c>
      <c r="F38" s="17">
        <v>0.29679337056386235</v>
      </c>
      <c r="G38" s="13">
        <v>1</v>
      </c>
      <c r="H38" s="13">
        <v>2.3683252427184467</v>
      </c>
      <c r="I38" s="14">
        <v>9.3149706210542664</v>
      </c>
      <c r="J38" s="16">
        <v>0.79020000000000001</v>
      </c>
      <c r="K38" s="16">
        <v>0.79020000000000001</v>
      </c>
      <c r="L38" s="13">
        <v>0.52859999999999996</v>
      </c>
      <c r="M38" s="13">
        <v>2.35E-2</v>
      </c>
      <c r="N38" s="13">
        <v>6.7599999999999993E-2</v>
      </c>
      <c r="O38" s="13">
        <v>7.5700000000000003E-2</v>
      </c>
      <c r="P38" s="16">
        <v>0.8165</v>
      </c>
      <c r="Q38" s="16">
        <v>0.79569999999999996</v>
      </c>
      <c r="R38" s="16">
        <v>0.79569999999999996</v>
      </c>
      <c r="S38" s="16">
        <f t="shared" si="0"/>
        <v>0.80263333333333342</v>
      </c>
      <c r="T38" s="18">
        <v>1</v>
      </c>
      <c r="U38" s="1">
        <v>37.974683540000001</v>
      </c>
      <c r="V38" s="1">
        <f t="shared" si="1"/>
        <v>3.6629122953470534</v>
      </c>
      <c r="W38" s="25"/>
      <c r="X38">
        <v>0.14510000000000001</v>
      </c>
      <c r="Y38" s="1">
        <v>1.0987</v>
      </c>
      <c r="Z38" s="1">
        <v>0.74129999999999996</v>
      </c>
      <c r="AA38" s="1">
        <v>10040</v>
      </c>
      <c r="AB38" s="1">
        <v>79</v>
      </c>
      <c r="AC38" s="29">
        <v>1687</v>
      </c>
    </row>
    <row r="39" spans="1:29">
      <c r="A39" s="12">
        <v>5</v>
      </c>
      <c r="B39" s="12" t="s">
        <v>12</v>
      </c>
      <c r="C39" s="12">
        <v>5197</v>
      </c>
      <c r="D39" s="12" t="s">
        <v>49</v>
      </c>
      <c r="E39" s="17">
        <v>0.8246575342465754</v>
      </c>
      <c r="F39" s="17">
        <v>0.17534246575342466</v>
      </c>
      <c r="G39" s="13">
        <v>0.97033411878436349</v>
      </c>
      <c r="H39" s="13">
        <v>4.7014554490592833</v>
      </c>
      <c r="I39" s="14">
        <v>9.6841492520628965</v>
      </c>
      <c r="J39" s="16">
        <v>0.998</v>
      </c>
      <c r="K39" s="16">
        <v>0.998</v>
      </c>
      <c r="L39" s="13">
        <v>0.54679999999999995</v>
      </c>
      <c r="M39" s="13">
        <v>3.2800000000000003E-2</v>
      </c>
      <c r="N39" s="13">
        <v>7.0000000000000007E-2</v>
      </c>
      <c r="O39" s="13">
        <v>6.8400000000000002E-2</v>
      </c>
      <c r="P39" s="16">
        <v>0.5484</v>
      </c>
      <c r="Q39" s="16">
        <v>0.26890000000000003</v>
      </c>
      <c r="R39" s="16">
        <v>0.4879</v>
      </c>
      <c r="S39" s="16">
        <f t="shared" si="0"/>
        <v>0.43506666666666671</v>
      </c>
      <c r="T39" s="18">
        <v>1</v>
      </c>
      <c r="U39" s="1">
        <v>0</v>
      </c>
      <c r="V39" s="1">
        <f t="shared" si="1"/>
        <v>0</v>
      </c>
      <c r="W39" s="26"/>
      <c r="X39">
        <v>7.3200000000000001E-2</v>
      </c>
      <c r="Y39" s="1">
        <v>0.1173</v>
      </c>
      <c r="Z39" s="1">
        <v>0.1109</v>
      </c>
      <c r="AA39" s="1">
        <v>16062</v>
      </c>
      <c r="AB39" s="1">
        <v>149</v>
      </c>
      <c r="AC39" s="29">
        <v>3069</v>
      </c>
    </row>
    <row r="40" spans="1:29">
      <c r="A40" s="12">
        <v>5</v>
      </c>
      <c r="B40" s="12" t="s">
        <v>12</v>
      </c>
      <c r="C40" s="12">
        <v>5206</v>
      </c>
      <c r="D40" s="12" t="s">
        <v>50</v>
      </c>
      <c r="E40" s="17">
        <v>0.8014366341713699</v>
      </c>
      <c r="F40" s="17">
        <v>0.19856336582863007</v>
      </c>
      <c r="G40" s="13">
        <v>0.77203406615171322</v>
      </c>
      <c r="H40" s="13">
        <v>4.0309677419354841</v>
      </c>
      <c r="I40" s="14">
        <v>8.2684753889825977</v>
      </c>
      <c r="J40" s="16">
        <v>0.77429999999999999</v>
      </c>
      <c r="K40" s="16">
        <v>0.77429999999999999</v>
      </c>
      <c r="L40" s="13">
        <v>0.59089999999999998</v>
      </c>
      <c r="M40" s="13">
        <v>1.7600000000000001E-2</v>
      </c>
      <c r="N40" s="13">
        <v>4.7E-2</v>
      </c>
      <c r="O40" s="13">
        <v>1.17E-2</v>
      </c>
      <c r="P40" s="16">
        <v>0.3095</v>
      </c>
      <c r="Q40" s="16">
        <v>0.3095</v>
      </c>
      <c r="R40" s="16">
        <v>0.3095</v>
      </c>
      <c r="S40" s="16">
        <f t="shared" si="0"/>
        <v>0.3095</v>
      </c>
      <c r="T40" s="18">
        <v>0.70750806080147399</v>
      </c>
      <c r="U40" s="1">
        <v>0</v>
      </c>
      <c r="V40" s="1">
        <f t="shared" si="1"/>
        <v>0</v>
      </c>
      <c r="W40" s="25"/>
      <c r="X40">
        <v>9.6600000000000005E-2</v>
      </c>
      <c r="Y40" s="1">
        <v>8.5699999999999998E-2</v>
      </c>
      <c r="Z40" s="1">
        <v>8.2199999999999995E-2</v>
      </c>
      <c r="AA40" s="1">
        <v>5108</v>
      </c>
      <c r="AB40" s="1">
        <v>18</v>
      </c>
      <c r="AC40" s="29">
        <v>847</v>
      </c>
    </row>
    <row r="41" spans="1:29">
      <c r="A41" s="12">
        <v>5</v>
      </c>
      <c r="B41" s="12" t="s">
        <v>12</v>
      </c>
      <c r="C41" s="12">
        <v>5209</v>
      </c>
      <c r="D41" s="12" t="s">
        <v>51</v>
      </c>
      <c r="E41" s="17">
        <v>0.82586284177498881</v>
      </c>
      <c r="F41" s="17">
        <v>0.17413715822501122</v>
      </c>
      <c r="G41" s="13">
        <v>0.78497603025904916</v>
      </c>
      <c r="H41" s="13">
        <v>4.7410743004181413</v>
      </c>
      <c r="I41" s="14">
        <v>9.7897027632295082</v>
      </c>
      <c r="J41" s="16">
        <v>0.58530000000000004</v>
      </c>
      <c r="K41" s="16">
        <v>0.58530000000000004</v>
      </c>
      <c r="L41" s="13">
        <v>0.27250000000000002</v>
      </c>
      <c r="M41" s="13">
        <v>3.9E-2</v>
      </c>
      <c r="N41" s="13">
        <v>0.10100000000000001</v>
      </c>
      <c r="O41" s="13">
        <v>5.2900000000000003E-2</v>
      </c>
      <c r="P41" s="16">
        <v>0.49170000000000003</v>
      </c>
      <c r="Q41" s="16">
        <v>0.42810000000000004</v>
      </c>
      <c r="R41" s="16">
        <v>0.42810000000000004</v>
      </c>
      <c r="S41" s="16">
        <f t="shared" si="0"/>
        <v>0.44930000000000003</v>
      </c>
      <c r="T41" s="18">
        <v>0.86751960379694593</v>
      </c>
      <c r="U41" s="1">
        <v>9.7087378639999997</v>
      </c>
      <c r="V41" s="1">
        <f t="shared" si="1"/>
        <v>2.3710600310166137</v>
      </c>
      <c r="W41" s="26"/>
      <c r="X41">
        <v>6.7599999999999993E-2</v>
      </c>
      <c r="Y41" s="1">
        <v>0.13189999999999999</v>
      </c>
      <c r="Z41" s="1">
        <v>0.1239</v>
      </c>
      <c r="AA41" s="1">
        <v>22182</v>
      </c>
      <c r="AB41" s="1">
        <v>103</v>
      </c>
      <c r="AC41" s="29">
        <v>4301</v>
      </c>
    </row>
    <row r="42" spans="1:29">
      <c r="A42" s="12">
        <v>5</v>
      </c>
      <c r="B42" s="12" t="s">
        <v>12</v>
      </c>
      <c r="C42" s="12">
        <v>5212</v>
      </c>
      <c r="D42" s="12" t="s">
        <v>52</v>
      </c>
      <c r="E42" s="17">
        <v>0.32712189600673597</v>
      </c>
      <c r="F42" s="17">
        <v>0.6728643007992049</v>
      </c>
      <c r="G42" s="13">
        <v>0.86032371836739541</v>
      </c>
      <c r="H42" s="13">
        <v>0.48615327808320341</v>
      </c>
      <c r="I42" s="14">
        <v>11.190624342122801</v>
      </c>
      <c r="J42" s="16">
        <v>1.0114000000000001</v>
      </c>
      <c r="K42" s="16">
        <v>1.0111000000000001</v>
      </c>
      <c r="L42" s="13">
        <v>0.58720000000000006</v>
      </c>
      <c r="M42" s="13">
        <v>3.8100000000000002E-2</v>
      </c>
      <c r="N42" s="13">
        <v>9.2299999999999993E-2</v>
      </c>
      <c r="O42" s="13">
        <v>8.3099999999999993E-2</v>
      </c>
      <c r="P42" s="16">
        <v>0.9022</v>
      </c>
      <c r="Q42" s="16">
        <v>0.9022</v>
      </c>
      <c r="R42" s="16">
        <v>0.99390000000000001</v>
      </c>
      <c r="S42" s="16">
        <f t="shared" si="0"/>
        <v>0.93276666666666674</v>
      </c>
      <c r="T42" s="18">
        <v>1</v>
      </c>
      <c r="U42" s="1">
        <v>5.0251256279999996</v>
      </c>
      <c r="V42" s="1">
        <f t="shared" si="1"/>
        <v>1.795938330279669</v>
      </c>
      <c r="W42" s="25"/>
      <c r="X42">
        <v>0.27760000000000001</v>
      </c>
      <c r="Y42" s="1">
        <v>7.7632000000000003</v>
      </c>
      <c r="Z42" s="1">
        <v>2.1705999999999999</v>
      </c>
      <c r="AA42" s="1">
        <v>89546</v>
      </c>
      <c r="AB42" s="1">
        <v>398</v>
      </c>
      <c r="AC42" s="29">
        <v>12902</v>
      </c>
    </row>
    <row r="43" spans="1:29">
      <c r="A43" s="12">
        <v>5</v>
      </c>
      <c r="B43" s="12" t="s">
        <v>12</v>
      </c>
      <c r="C43" s="12">
        <v>5234</v>
      </c>
      <c r="D43" s="12" t="s">
        <v>53</v>
      </c>
      <c r="E43" s="17">
        <v>0.91437227797765575</v>
      </c>
      <c r="F43" s="17">
        <v>8.5627722022344255E-2</v>
      </c>
      <c r="G43" s="13">
        <v>1</v>
      </c>
      <c r="H43" s="13">
        <v>10.673740053050398</v>
      </c>
      <c r="I43" s="14">
        <v>10.181346536039147</v>
      </c>
      <c r="J43" s="16">
        <v>0.80710000000000004</v>
      </c>
      <c r="K43" s="16">
        <v>0.80710000000000004</v>
      </c>
      <c r="L43" s="13">
        <v>0.29549999999999998</v>
      </c>
      <c r="M43" s="13">
        <v>5.8400000000000001E-2</v>
      </c>
      <c r="N43" s="13">
        <v>0.13089999999999999</v>
      </c>
      <c r="O43" s="13">
        <v>5.3499999999999999E-2</v>
      </c>
      <c r="P43" s="16">
        <v>0.76540000000000008</v>
      </c>
      <c r="Q43" s="16">
        <v>0.61099999999999999</v>
      </c>
      <c r="R43" s="16">
        <v>0.62139999999999995</v>
      </c>
      <c r="S43" s="16">
        <f t="shared" si="0"/>
        <v>0.66593333333333338</v>
      </c>
      <c r="T43" s="18">
        <v>1</v>
      </c>
      <c r="U43" s="1">
        <v>25</v>
      </c>
      <c r="V43" s="1">
        <f t="shared" si="1"/>
        <v>3.2580965380214821</v>
      </c>
      <c r="W43" s="26"/>
      <c r="X43">
        <v>0.1321</v>
      </c>
      <c r="Y43" s="1">
        <v>1.37E-2</v>
      </c>
      <c r="Z43" s="1">
        <v>1.3599999999999999E-2</v>
      </c>
      <c r="AA43" s="1">
        <v>24651</v>
      </c>
      <c r="AB43" s="1">
        <v>200</v>
      </c>
      <c r="AC43" s="29">
        <v>6502</v>
      </c>
    </row>
    <row r="44" spans="1:29">
      <c r="A44" s="12">
        <v>5</v>
      </c>
      <c r="B44" s="12" t="s">
        <v>12</v>
      </c>
      <c r="C44" s="12">
        <v>5237</v>
      </c>
      <c r="D44" s="12" t="s">
        <v>54</v>
      </c>
      <c r="E44" s="17">
        <v>0.44719457789979411</v>
      </c>
      <c r="F44" s="17">
        <v>0.55280542210020589</v>
      </c>
      <c r="G44" s="13">
        <v>1</v>
      </c>
      <c r="H44" s="13">
        <v>0.80889199255121047</v>
      </c>
      <c r="I44" s="14">
        <v>10.056766423877352</v>
      </c>
      <c r="J44" s="16">
        <v>0.92800000000000005</v>
      </c>
      <c r="K44" s="16">
        <v>0.92779999999999996</v>
      </c>
      <c r="L44" s="13">
        <v>0.49519999999999997</v>
      </c>
      <c r="M44" s="13">
        <v>6.3100000000000003E-2</v>
      </c>
      <c r="N44" s="13">
        <v>0.1007</v>
      </c>
      <c r="O44" s="13">
        <v>5.91E-2</v>
      </c>
      <c r="P44" s="16">
        <v>0.67620000000000002</v>
      </c>
      <c r="Q44" s="16">
        <v>0.63229999999999997</v>
      </c>
      <c r="R44" s="16">
        <v>0.67620000000000002</v>
      </c>
      <c r="S44" s="16">
        <f t="shared" si="0"/>
        <v>0.66156666666666675</v>
      </c>
      <c r="T44" s="18">
        <v>1</v>
      </c>
      <c r="U44" s="1">
        <v>7.407407407</v>
      </c>
      <c r="V44" s="1">
        <f t="shared" si="1"/>
        <v>2.1291131514286157</v>
      </c>
      <c r="W44" s="25"/>
      <c r="X44">
        <v>0.2477</v>
      </c>
      <c r="Y44" s="1">
        <v>0.60660000000000003</v>
      </c>
      <c r="Z44" s="1">
        <v>0.47410000000000002</v>
      </c>
      <c r="AA44" s="1">
        <v>19689</v>
      </c>
      <c r="AB44" s="1">
        <v>135</v>
      </c>
      <c r="AC44" s="29">
        <v>3770</v>
      </c>
    </row>
    <row r="45" spans="1:29">
      <c r="A45" s="12">
        <v>5</v>
      </c>
      <c r="B45" s="12" t="s">
        <v>12</v>
      </c>
      <c r="C45" s="12">
        <v>5240</v>
      </c>
      <c r="D45" s="12" t="s">
        <v>55</v>
      </c>
      <c r="E45" s="17">
        <v>0.81946195880622108</v>
      </c>
      <c r="F45" s="17">
        <v>0.18043295502311896</v>
      </c>
      <c r="G45" s="13">
        <v>0.7422776911076443</v>
      </c>
      <c r="H45" s="13">
        <v>4.5389988358556463</v>
      </c>
      <c r="I45" s="14">
        <v>9.160834952072344</v>
      </c>
      <c r="J45" s="16">
        <v>0.69889999999999997</v>
      </c>
      <c r="K45" s="16">
        <v>0.69889999999999997</v>
      </c>
      <c r="L45" s="13">
        <v>0.40739999999999998</v>
      </c>
      <c r="M45" s="13">
        <v>3.2000000000000001E-2</v>
      </c>
      <c r="N45" s="13">
        <v>7.6100000000000001E-2</v>
      </c>
      <c r="O45" s="13">
        <v>5.2600000000000001E-2</v>
      </c>
      <c r="P45" s="16">
        <v>0</v>
      </c>
      <c r="Q45" s="16">
        <v>0</v>
      </c>
      <c r="R45" s="16">
        <v>0</v>
      </c>
      <c r="S45" s="16">
        <f t="shared" si="0"/>
        <v>0</v>
      </c>
      <c r="T45" s="18">
        <v>0.97857878475798099</v>
      </c>
      <c r="U45" s="1">
        <v>0</v>
      </c>
      <c r="V45" s="1">
        <f t="shared" si="1"/>
        <v>0</v>
      </c>
      <c r="W45" s="26"/>
      <c r="X45">
        <v>5.8400000000000001E-2</v>
      </c>
      <c r="Y45" s="1">
        <v>0.11559999999999999</v>
      </c>
      <c r="Z45" s="1">
        <v>0.1094</v>
      </c>
      <c r="AA45" s="1">
        <v>12627</v>
      </c>
      <c r="AB45" s="1">
        <v>46</v>
      </c>
      <c r="AC45" s="29">
        <v>2016</v>
      </c>
    </row>
    <row r="46" spans="1:29">
      <c r="A46" s="12">
        <v>5</v>
      </c>
      <c r="B46" s="12" t="s">
        <v>12</v>
      </c>
      <c r="C46" s="12">
        <v>5250</v>
      </c>
      <c r="D46" s="12" t="s">
        <v>56</v>
      </c>
      <c r="E46" s="17">
        <v>0.85696815614591215</v>
      </c>
      <c r="F46" s="17">
        <v>0.14303184385408788</v>
      </c>
      <c r="G46" s="13">
        <v>1</v>
      </c>
      <c r="H46" s="13">
        <v>5.9907761529808772</v>
      </c>
      <c r="I46" s="14">
        <v>11.037273916211891</v>
      </c>
      <c r="J46" s="16">
        <v>0.87509999999999999</v>
      </c>
      <c r="K46" s="16">
        <v>0.87509999999999999</v>
      </c>
      <c r="L46" s="13">
        <v>0.47849999999999998</v>
      </c>
      <c r="M46" s="13">
        <v>4.6100000000000002E-2</v>
      </c>
      <c r="N46" s="13">
        <v>0.10290000000000001</v>
      </c>
      <c r="O46" s="13">
        <v>3.1699999999999999E-2</v>
      </c>
      <c r="P46" s="16">
        <v>0.78110000000000002</v>
      </c>
      <c r="Q46" s="16">
        <v>0.32429999999999998</v>
      </c>
      <c r="R46" s="16">
        <v>0.82169999999999999</v>
      </c>
      <c r="S46" s="16">
        <f t="shared" si="0"/>
        <v>0.64236666666666664</v>
      </c>
      <c r="T46" s="18">
        <v>1</v>
      </c>
      <c r="U46" s="1">
        <v>15.58441558</v>
      </c>
      <c r="V46" s="1">
        <f t="shared" si="1"/>
        <v>2.8084634339126064</v>
      </c>
      <c r="W46" s="25"/>
      <c r="X46">
        <v>7.7399999999999997E-2</v>
      </c>
      <c r="Y46" s="1">
        <v>9.35E-2</v>
      </c>
      <c r="Z46" s="1">
        <v>8.9399999999999993E-2</v>
      </c>
      <c r="AA46" s="1">
        <v>55742</v>
      </c>
      <c r="AB46" s="1">
        <v>770</v>
      </c>
      <c r="AC46" s="29">
        <v>15152</v>
      </c>
    </row>
    <row r="47" spans="1:29">
      <c r="A47" s="12">
        <v>5</v>
      </c>
      <c r="B47" s="12" t="s">
        <v>12</v>
      </c>
      <c r="C47" s="12">
        <v>5264</v>
      </c>
      <c r="D47" s="12" t="s">
        <v>57</v>
      </c>
      <c r="E47" s="17">
        <v>0.34515965534718701</v>
      </c>
      <c r="F47" s="17">
        <v>0.65484034465281293</v>
      </c>
      <c r="G47" s="13">
        <v>0.81785773503564918</v>
      </c>
      <c r="H47" s="13">
        <v>0.5270082030645411</v>
      </c>
      <c r="I47" s="14">
        <v>9.1968497817936843</v>
      </c>
      <c r="J47" s="16">
        <v>0.8145</v>
      </c>
      <c r="K47" s="16">
        <v>0.8145</v>
      </c>
      <c r="L47" s="13">
        <v>0.46870000000000001</v>
      </c>
      <c r="M47" s="13">
        <v>1.4800000000000001E-2</v>
      </c>
      <c r="N47" s="13">
        <v>8.7999999999999995E-2</v>
      </c>
      <c r="O47" s="13">
        <v>0.10349999999999999</v>
      </c>
      <c r="P47" s="16">
        <v>0.98519999999999996</v>
      </c>
      <c r="Q47" s="16">
        <v>0.52600000000000002</v>
      </c>
      <c r="R47" s="16">
        <v>0.98620000000000008</v>
      </c>
      <c r="S47" s="16">
        <f t="shared" si="0"/>
        <v>0.8324666666666668</v>
      </c>
      <c r="T47" s="18">
        <v>1</v>
      </c>
      <c r="U47" s="1">
        <v>0</v>
      </c>
      <c r="V47" s="1">
        <f t="shared" si="1"/>
        <v>0</v>
      </c>
      <c r="W47" s="26"/>
      <c r="X47">
        <v>0.36709999999999998</v>
      </c>
      <c r="Y47" s="1">
        <v>0.1804</v>
      </c>
      <c r="Z47" s="1">
        <v>0.16589999999999999</v>
      </c>
      <c r="AA47" s="1">
        <v>12568</v>
      </c>
      <c r="AB47" s="1">
        <v>79</v>
      </c>
      <c r="AC47" s="29">
        <v>2494</v>
      </c>
    </row>
    <row r="48" spans="1:29">
      <c r="A48" s="12">
        <v>5</v>
      </c>
      <c r="B48" s="12" t="s">
        <v>12</v>
      </c>
      <c r="C48" s="12">
        <v>5266</v>
      </c>
      <c r="D48" s="12" t="s">
        <v>58</v>
      </c>
      <c r="E48" s="17">
        <v>0.16344560510487141</v>
      </c>
      <c r="F48" s="17">
        <v>0.83655439489512862</v>
      </c>
      <c r="G48" s="13">
        <v>0.87980056704684584</v>
      </c>
      <c r="H48" s="13">
        <v>0.19537846163948061</v>
      </c>
      <c r="I48" s="14">
        <v>12.294353632890033</v>
      </c>
      <c r="J48" s="16">
        <v>1.0058</v>
      </c>
      <c r="K48" s="16">
        <v>0.98450000000000004</v>
      </c>
      <c r="L48" s="13">
        <v>0.67400000000000004</v>
      </c>
      <c r="M48" s="13">
        <v>3.9300000000000002E-2</v>
      </c>
      <c r="N48" s="13">
        <v>8.77E-2</v>
      </c>
      <c r="O48" s="13">
        <v>7.0699999999999999E-2</v>
      </c>
      <c r="P48" s="16">
        <v>0.86849999999999994</v>
      </c>
      <c r="Q48" s="16">
        <v>0.88139999999999996</v>
      </c>
      <c r="R48" s="16">
        <v>0.86640000000000006</v>
      </c>
      <c r="S48" s="16">
        <f t="shared" si="0"/>
        <v>0.87209999999999999</v>
      </c>
      <c r="T48" s="18">
        <v>0.64426470588235207</v>
      </c>
      <c r="U48" s="1">
        <v>3.4904013960000002</v>
      </c>
      <c r="V48" s="1">
        <f t="shared" si="1"/>
        <v>1.5019420955312488</v>
      </c>
      <c r="W48" s="25"/>
      <c r="X48">
        <v>0.61560000000000004</v>
      </c>
      <c r="Y48" s="1">
        <v>13.758900000000001</v>
      </c>
      <c r="Z48" s="1">
        <v>2.6918000000000002</v>
      </c>
      <c r="AA48" s="1">
        <v>260430</v>
      </c>
      <c r="AB48" s="1">
        <v>1146</v>
      </c>
      <c r="AC48" s="29">
        <v>29555</v>
      </c>
    </row>
    <row r="49" spans="1:29">
      <c r="A49" s="12">
        <v>5</v>
      </c>
      <c r="B49" s="12" t="s">
        <v>12</v>
      </c>
      <c r="C49" s="12">
        <v>5282</v>
      </c>
      <c r="D49" s="12" t="s">
        <v>59</v>
      </c>
      <c r="E49" s="17">
        <v>0.62951561223848718</v>
      </c>
      <c r="F49" s="17">
        <v>0.37048438776151282</v>
      </c>
      <c r="G49" s="13">
        <v>0.61264000615834646</v>
      </c>
      <c r="H49" s="13">
        <v>1.6988809766022381</v>
      </c>
      <c r="I49" s="14">
        <v>9.6752058233657952</v>
      </c>
      <c r="J49" s="16">
        <v>0.58660000000000001</v>
      </c>
      <c r="K49" s="16">
        <v>0.58660000000000001</v>
      </c>
      <c r="L49" s="13">
        <v>0.36680000000000001</v>
      </c>
      <c r="M49" s="13">
        <v>1.89E-2</v>
      </c>
      <c r="N49" s="13">
        <v>8.9099999999999999E-2</v>
      </c>
      <c r="O49" s="13">
        <v>1.43E-2</v>
      </c>
      <c r="P49" s="16">
        <v>0.30170000000000002</v>
      </c>
      <c r="Q49" s="16">
        <v>0.30170000000000002</v>
      </c>
      <c r="R49" s="16">
        <v>0.30170000000000002</v>
      </c>
      <c r="S49" s="16">
        <f t="shared" si="0"/>
        <v>0.30170000000000002</v>
      </c>
      <c r="T49" s="18">
        <v>0.82070212445381896</v>
      </c>
      <c r="U49" s="1">
        <v>0</v>
      </c>
      <c r="V49" s="1">
        <f t="shared" si="1"/>
        <v>0</v>
      </c>
      <c r="W49" s="26"/>
      <c r="X49">
        <v>7.5800000000000006E-2</v>
      </c>
      <c r="Y49" s="1">
        <v>0.26279999999999998</v>
      </c>
      <c r="Z49" s="1">
        <v>0.23330000000000001</v>
      </c>
      <c r="AA49" s="1">
        <v>26245</v>
      </c>
      <c r="AB49" s="1">
        <v>87</v>
      </c>
      <c r="AC49" s="29">
        <v>4167</v>
      </c>
    </row>
    <row r="50" spans="1:29">
      <c r="A50" s="12">
        <v>5</v>
      </c>
      <c r="B50" s="12" t="s">
        <v>12</v>
      </c>
      <c r="C50" s="12">
        <v>5284</v>
      </c>
      <c r="D50" s="12" t="s">
        <v>60</v>
      </c>
      <c r="E50" s="17">
        <v>0.88030180314591411</v>
      </c>
      <c r="F50" s="17">
        <v>0.11969819685408585</v>
      </c>
      <c r="G50" s="13">
        <v>1</v>
      </c>
      <c r="H50" s="13">
        <v>7.3517265930936277</v>
      </c>
      <c r="I50" s="14">
        <v>10.063052122207466</v>
      </c>
      <c r="J50" s="16">
        <v>0.87529999999999997</v>
      </c>
      <c r="K50" s="16">
        <v>0.87529999999999997</v>
      </c>
      <c r="L50" s="13">
        <v>0.38690000000000002</v>
      </c>
      <c r="M50" s="13">
        <v>3.3700000000000001E-2</v>
      </c>
      <c r="N50" s="13">
        <v>0.13519999999999999</v>
      </c>
      <c r="O50" s="13">
        <v>0.1011</v>
      </c>
      <c r="P50" s="16">
        <v>0.94220000000000004</v>
      </c>
      <c r="Q50" s="16">
        <v>0.44469999999999998</v>
      </c>
      <c r="R50" s="16">
        <v>0.67010000000000003</v>
      </c>
      <c r="S50" s="16">
        <f t="shared" si="0"/>
        <v>0.68566666666666665</v>
      </c>
      <c r="T50" s="18">
        <v>0.92371347297646689</v>
      </c>
      <c r="U50" s="1">
        <v>28.571428569999998</v>
      </c>
      <c r="V50" s="1">
        <f t="shared" si="1"/>
        <v>3.3868086441617464</v>
      </c>
      <c r="W50" s="25"/>
      <c r="X50">
        <v>3.6400000000000002E-2</v>
      </c>
      <c r="Y50" s="1">
        <v>2.1600000000000001E-2</v>
      </c>
      <c r="Z50" s="1">
        <v>2.1399999999999999E-2</v>
      </c>
      <c r="AA50" s="1">
        <v>21716</v>
      </c>
      <c r="AB50" s="1">
        <v>140</v>
      </c>
      <c r="AC50" s="29">
        <v>5056</v>
      </c>
    </row>
    <row r="51" spans="1:29">
      <c r="A51" s="12">
        <v>5</v>
      </c>
      <c r="B51" s="12" t="s">
        <v>12</v>
      </c>
      <c r="C51" s="12">
        <v>5306</v>
      </c>
      <c r="D51" s="12" t="s">
        <v>61</v>
      </c>
      <c r="E51" s="17">
        <v>0.82822419735171415</v>
      </c>
      <c r="F51" s="17">
        <v>0.17177580264828587</v>
      </c>
      <c r="G51" s="13">
        <v>0.92453463021968807</v>
      </c>
      <c r="H51" s="13">
        <v>4.8164556962025316</v>
      </c>
      <c r="I51" s="14">
        <v>8.6150455915837423</v>
      </c>
      <c r="J51" s="16">
        <v>0.99329999999999996</v>
      </c>
      <c r="K51" s="16">
        <v>0.99329999999999996</v>
      </c>
      <c r="L51" s="13">
        <v>0.45</v>
      </c>
      <c r="M51" s="13">
        <v>3.9899999999999998E-2</v>
      </c>
      <c r="N51" s="13">
        <v>8.8499999999999995E-2</v>
      </c>
      <c r="O51" s="13">
        <v>4.1500000000000002E-2</v>
      </c>
      <c r="P51" s="16">
        <v>0.38140000000000002</v>
      </c>
      <c r="Q51" s="16">
        <v>0.37490000000000001</v>
      </c>
      <c r="R51" s="16">
        <v>0.43030000000000002</v>
      </c>
      <c r="S51" s="16">
        <f t="shared" si="0"/>
        <v>0.39553333333333329</v>
      </c>
      <c r="T51" s="18">
        <v>0.92610539067231901</v>
      </c>
      <c r="U51" s="1">
        <v>16.94915254</v>
      </c>
      <c r="V51" s="1">
        <f t="shared" si="1"/>
        <v>2.8875429015634868</v>
      </c>
      <c r="W51" s="26"/>
      <c r="X51">
        <v>0.58199999999999996</v>
      </c>
      <c r="Y51" s="1">
        <v>0.59379999999999999</v>
      </c>
      <c r="Z51" s="1">
        <v>0.46610000000000001</v>
      </c>
      <c r="AA51" s="1">
        <v>6331</v>
      </c>
      <c r="AB51" s="1">
        <v>59</v>
      </c>
      <c r="AC51" s="29">
        <v>1313</v>
      </c>
    </row>
    <row r="52" spans="1:29">
      <c r="A52" s="12">
        <v>5</v>
      </c>
      <c r="B52" s="12" t="s">
        <v>12</v>
      </c>
      <c r="C52" s="12">
        <v>5308</v>
      </c>
      <c r="D52" s="12" t="s">
        <v>62</v>
      </c>
      <c r="E52" s="17">
        <v>0.33775613931838855</v>
      </c>
      <c r="F52" s="17">
        <v>0.66222602678651044</v>
      </c>
      <c r="G52" s="13">
        <v>1.0030589245465278</v>
      </c>
      <c r="H52" s="13">
        <v>0.51001777346905797</v>
      </c>
      <c r="I52" s="14">
        <v>10.934427525970367</v>
      </c>
      <c r="J52" s="16">
        <v>0.90969999999999995</v>
      </c>
      <c r="K52" s="16">
        <v>0.90969999999999995</v>
      </c>
      <c r="L52" s="13">
        <v>0.54359999999999997</v>
      </c>
      <c r="M52" s="13">
        <v>4.3799999999999999E-2</v>
      </c>
      <c r="N52" s="13">
        <v>0.1216</v>
      </c>
      <c r="O52" s="13">
        <v>8.5300000000000001E-2</v>
      </c>
      <c r="P52" s="16">
        <v>0.96200000000000008</v>
      </c>
      <c r="Q52" s="16">
        <v>0.64230000000000009</v>
      </c>
      <c r="R52" s="16">
        <v>0.90049999999999997</v>
      </c>
      <c r="S52" s="16">
        <f t="shared" si="0"/>
        <v>0.83493333333333342</v>
      </c>
      <c r="T52" s="18">
        <v>1</v>
      </c>
      <c r="U52" s="1">
        <v>6.5789473679999997</v>
      </c>
      <c r="V52" s="1">
        <f t="shared" si="1"/>
        <v>2.0253743203540044</v>
      </c>
      <c r="W52" s="25"/>
      <c r="X52">
        <v>0.92210000000000003</v>
      </c>
      <c r="Y52" s="1">
        <v>5.5343</v>
      </c>
      <c r="Z52" s="1">
        <v>1.8771</v>
      </c>
      <c r="AA52" s="1">
        <v>60604</v>
      </c>
      <c r="AB52" s="1">
        <v>304</v>
      </c>
      <c r="AC52" s="29">
        <v>9373</v>
      </c>
    </row>
    <row r="53" spans="1:29">
      <c r="A53" s="12">
        <v>5</v>
      </c>
      <c r="B53" s="12" t="s">
        <v>12</v>
      </c>
      <c r="C53" s="12">
        <v>5310</v>
      </c>
      <c r="D53" s="12" t="s">
        <v>63</v>
      </c>
      <c r="E53" s="17">
        <v>0.73005735140771633</v>
      </c>
      <c r="F53" s="17">
        <v>0.26994264859228362</v>
      </c>
      <c r="G53" s="13">
        <v>0.73790516495142833</v>
      </c>
      <c r="H53" s="13">
        <v>2.7031853281853282</v>
      </c>
      <c r="I53" s="14">
        <v>8.9454629521776656</v>
      </c>
      <c r="J53" s="16">
        <v>0.63239999999999996</v>
      </c>
      <c r="K53" s="16">
        <v>0.63239999999999996</v>
      </c>
      <c r="L53" s="13">
        <v>0.35210000000000002</v>
      </c>
      <c r="M53" s="13">
        <v>4.9599999999999998E-2</v>
      </c>
      <c r="N53" s="13">
        <v>9.5699999999999993E-2</v>
      </c>
      <c r="O53" s="13">
        <v>6.5299999999999997E-2</v>
      </c>
      <c r="P53" s="16">
        <v>1</v>
      </c>
      <c r="Q53" s="16">
        <v>1</v>
      </c>
      <c r="R53" s="16">
        <v>1</v>
      </c>
      <c r="S53" s="16">
        <f t="shared" si="0"/>
        <v>1</v>
      </c>
      <c r="T53" s="18">
        <v>1</v>
      </c>
      <c r="U53" s="1">
        <v>0</v>
      </c>
      <c r="V53" s="1">
        <f t="shared" si="1"/>
        <v>0</v>
      </c>
      <c r="W53" s="26"/>
      <c r="X53">
        <v>0.1231</v>
      </c>
      <c r="Y53" s="1">
        <v>0.14560000000000001</v>
      </c>
      <c r="Z53" s="1">
        <v>0.13600000000000001</v>
      </c>
      <c r="AA53" s="1">
        <v>10301</v>
      </c>
      <c r="AB53" s="1">
        <v>41</v>
      </c>
      <c r="AC53" s="29">
        <v>1792</v>
      </c>
    </row>
    <row r="54" spans="1:29">
      <c r="A54" s="12">
        <v>5</v>
      </c>
      <c r="B54" s="12" t="s">
        <v>12</v>
      </c>
      <c r="C54" s="12">
        <v>5313</v>
      </c>
      <c r="D54" s="12" t="s">
        <v>64</v>
      </c>
      <c r="E54" s="17">
        <v>0.81418454708804566</v>
      </c>
      <c r="F54" s="17">
        <v>0.18581545291195434</v>
      </c>
      <c r="G54" s="13">
        <v>0.87723690310616598</v>
      </c>
      <c r="H54" s="13">
        <v>4.3791927231381464</v>
      </c>
      <c r="I54" s="14">
        <v>9.155039056191093</v>
      </c>
      <c r="J54" s="16">
        <v>0.79510000000000003</v>
      </c>
      <c r="K54" s="16">
        <v>0.79510000000000003</v>
      </c>
      <c r="L54" s="13">
        <v>0.44890000000000002</v>
      </c>
      <c r="M54" s="13">
        <v>2.9899999999999999E-2</v>
      </c>
      <c r="N54" s="13">
        <v>7.6200000000000004E-2</v>
      </c>
      <c r="O54" s="13">
        <v>1.1900000000000001E-2</v>
      </c>
      <c r="P54" s="16">
        <v>0.48299999999999998</v>
      </c>
      <c r="Q54" s="16">
        <v>0.4128</v>
      </c>
      <c r="R54" s="16">
        <v>0.4128</v>
      </c>
      <c r="S54" s="16">
        <f t="shared" si="0"/>
        <v>0.43619999999999998</v>
      </c>
      <c r="T54" s="18">
        <v>0.67907653910149701</v>
      </c>
      <c r="U54" s="1">
        <v>12.820512819999999</v>
      </c>
      <c r="V54" s="1">
        <f t="shared" si="1"/>
        <v>2.626153924742245</v>
      </c>
      <c r="W54" s="25"/>
      <c r="X54">
        <v>5.6500000000000002E-2</v>
      </c>
      <c r="Y54" s="1">
        <v>0.1623</v>
      </c>
      <c r="Z54" s="1">
        <v>0.15040000000000001</v>
      </c>
      <c r="AA54" s="1">
        <v>10463</v>
      </c>
      <c r="AB54" s="1">
        <v>78</v>
      </c>
      <c r="AC54" s="29">
        <v>2224</v>
      </c>
    </row>
    <row r="55" spans="1:29">
      <c r="A55" s="12">
        <v>5</v>
      </c>
      <c r="B55" s="12" t="s">
        <v>12</v>
      </c>
      <c r="C55" s="12">
        <v>5315</v>
      </c>
      <c r="D55" s="12" t="s">
        <v>65</v>
      </c>
      <c r="E55" s="17">
        <v>0.80787911494873177</v>
      </c>
      <c r="F55" s="17">
        <v>0.1921208850512682</v>
      </c>
      <c r="G55" s="13">
        <v>0.79801894918173988</v>
      </c>
      <c r="H55" s="13">
        <v>4.2011225444340505</v>
      </c>
      <c r="I55" s="14">
        <v>8.6233533872446273</v>
      </c>
      <c r="J55" s="16">
        <v>0.69589999999999996</v>
      </c>
      <c r="K55" s="16">
        <v>0.69589999999999996</v>
      </c>
      <c r="L55" s="13">
        <v>0.36990000000000001</v>
      </c>
      <c r="M55" s="13">
        <v>2.0299999999999999E-2</v>
      </c>
      <c r="N55" s="13">
        <v>6.9099999999999995E-2</v>
      </c>
      <c r="O55" s="13">
        <v>0.13619999999999999</v>
      </c>
      <c r="P55" s="16">
        <v>0.68879999999999997</v>
      </c>
      <c r="Q55" s="16">
        <v>0.27190000000000003</v>
      </c>
      <c r="R55" s="16">
        <v>0.27190000000000003</v>
      </c>
      <c r="S55" s="16">
        <f t="shared" si="0"/>
        <v>0.41086666666666671</v>
      </c>
      <c r="T55" s="18">
        <v>1</v>
      </c>
      <c r="U55" s="1">
        <v>0</v>
      </c>
      <c r="V55" s="1">
        <f t="shared" si="1"/>
        <v>0</v>
      </c>
      <c r="W55" s="26"/>
      <c r="X55">
        <v>0.1409</v>
      </c>
      <c r="Y55" s="1">
        <v>0.11509999999999999</v>
      </c>
      <c r="Z55" s="1">
        <v>0.109</v>
      </c>
      <c r="AA55" s="1">
        <v>6975</v>
      </c>
      <c r="AB55" s="1">
        <v>30</v>
      </c>
      <c r="AC55" s="29">
        <v>1392</v>
      </c>
    </row>
    <row r="56" spans="1:29">
      <c r="A56" s="12">
        <v>5</v>
      </c>
      <c r="B56" s="12" t="s">
        <v>12</v>
      </c>
      <c r="C56" s="12">
        <v>5318</v>
      </c>
      <c r="D56" s="12" t="s">
        <v>66</v>
      </c>
      <c r="E56" s="17">
        <v>0.34812241832519714</v>
      </c>
      <c r="F56" s="17">
        <v>0.65187758167480281</v>
      </c>
      <c r="G56" s="13">
        <v>0.89197789315022613</v>
      </c>
      <c r="H56" s="13">
        <v>0.5340149769585254</v>
      </c>
      <c r="I56" s="14">
        <v>10.882959635008408</v>
      </c>
      <c r="J56" s="16">
        <v>0.86140000000000005</v>
      </c>
      <c r="K56" s="16">
        <v>0.86129999999999995</v>
      </c>
      <c r="L56" s="13">
        <v>0.4607</v>
      </c>
      <c r="M56" s="13">
        <v>3.9899999999999998E-2</v>
      </c>
      <c r="N56" s="13">
        <v>9.9299999999999999E-2</v>
      </c>
      <c r="O56" s="13">
        <v>0.1183</v>
      </c>
      <c r="P56" s="16">
        <v>0.61990000000000001</v>
      </c>
      <c r="Q56" s="16">
        <v>0.26850000000000002</v>
      </c>
      <c r="R56" s="16">
        <v>0.48380000000000001</v>
      </c>
      <c r="S56" s="16">
        <f t="shared" si="0"/>
        <v>0.45740000000000003</v>
      </c>
      <c r="T56" s="18">
        <v>1</v>
      </c>
      <c r="U56" s="1">
        <v>10.126582279999999</v>
      </c>
      <c r="V56" s="1">
        <f t="shared" si="1"/>
        <v>2.4093370453546741</v>
      </c>
      <c r="W56" s="25"/>
      <c r="X56">
        <v>0.69650000000000001</v>
      </c>
      <c r="Y56" s="1">
        <v>4.4896000000000003</v>
      </c>
      <c r="Z56" s="1">
        <v>1.7028000000000001</v>
      </c>
      <c r="AA56" s="1">
        <v>64068</v>
      </c>
      <c r="AB56" s="1">
        <v>395</v>
      </c>
      <c r="AC56" s="29">
        <v>9704</v>
      </c>
    </row>
    <row r="57" spans="1:29">
      <c r="A57" s="12">
        <v>5</v>
      </c>
      <c r="B57" s="12" t="s">
        <v>12</v>
      </c>
      <c r="C57" s="12">
        <v>5321</v>
      </c>
      <c r="D57" s="12" t="s">
        <v>67</v>
      </c>
      <c r="E57" s="17">
        <v>0.62383433900164564</v>
      </c>
      <c r="F57" s="17">
        <v>0.37616566099835436</v>
      </c>
      <c r="G57" s="13">
        <v>0.80842572062084261</v>
      </c>
      <c r="H57" s="13">
        <v>1.657798833819242</v>
      </c>
      <c r="I57" s="14">
        <v>8.8946702629842331</v>
      </c>
      <c r="J57" s="16">
        <v>1.0878000000000001</v>
      </c>
      <c r="K57" s="16">
        <v>1.0878000000000001</v>
      </c>
      <c r="L57" s="13">
        <v>0.7</v>
      </c>
      <c r="M57" s="13">
        <v>4.2799999999999998E-2</v>
      </c>
      <c r="N57" s="13">
        <v>6.9599999999999995E-2</v>
      </c>
      <c r="O57" s="13">
        <v>5.4300000000000001E-2</v>
      </c>
      <c r="P57" s="16">
        <v>0.59219999999999995</v>
      </c>
      <c r="Q57" s="16">
        <v>0.38530000000000003</v>
      </c>
      <c r="R57" s="16">
        <v>0.35780000000000001</v>
      </c>
      <c r="S57" s="16">
        <f t="shared" si="0"/>
        <v>0.44510000000000005</v>
      </c>
      <c r="T57" s="18">
        <v>1</v>
      </c>
      <c r="U57" s="1">
        <v>0</v>
      </c>
      <c r="V57" s="1">
        <f t="shared" si="1"/>
        <v>0</v>
      </c>
      <c r="W57" s="26"/>
      <c r="X57">
        <v>0.31130000000000002</v>
      </c>
      <c r="Y57" s="1">
        <v>0.96120000000000005</v>
      </c>
      <c r="Z57" s="1">
        <v>0.67359999999999998</v>
      </c>
      <c r="AA57" s="1">
        <v>9518</v>
      </c>
      <c r="AB57" s="1">
        <v>69</v>
      </c>
      <c r="AC57" s="29">
        <v>1556</v>
      </c>
    </row>
    <row r="58" spans="1:29">
      <c r="A58" s="12">
        <v>5</v>
      </c>
      <c r="B58" s="12" t="s">
        <v>12</v>
      </c>
      <c r="C58" s="12">
        <v>5347</v>
      </c>
      <c r="D58" s="12" t="s">
        <v>68</v>
      </c>
      <c r="E58" s="17">
        <v>0.84984241332733002</v>
      </c>
      <c r="F58" s="17">
        <v>0.15015758667266996</v>
      </c>
      <c r="G58" s="13">
        <v>0.77711686494051779</v>
      </c>
      <c r="H58" s="13">
        <v>5.6511976047904193</v>
      </c>
      <c r="I58" s="14">
        <v>8.3990851029359082</v>
      </c>
      <c r="J58" s="16">
        <v>0.78559999999999997</v>
      </c>
      <c r="K58" s="16">
        <v>0.78559999999999997</v>
      </c>
      <c r="L58" s="13">
        <v>0.38</v>
      </c>
      <c r="M58" s="13">
        <v>4.9299999999999997E-2</v>
      </c>
      <c r="N58" s="13">
        <v>7.0400000000000004E-2</v>
      </c>
      <c r="O58" s="13">
        <v>5.7700000000000001E-2</v>
      </c>
      <c r="P58" s="16">
        <v>0</v>
      </c>
      <c r="Q58" s="16">
        <v>0</v>
      </c>
      <c r="R58" s="16">
        <v>0</v>
      </c>
      <c r="S58" s="16">
        <f t="shared" si="0"/>
        <v>0</v>
      </c>
      <c r="T58" s="18">
        <v>1</v>
      </c>
      <c r="U58" s="1">
        <v>62.5</v>
      </c>
      <c r="V58" s="1">
        <f t="shared" si="1"/>
        <v>4.1510399058986458</v>
      </c>
      <c r="W58" s="25"/>
      <c r="X58">
        <v>0.19359999999999999</v>
      </c>
      <c r="Y58" s="1">
        <v>0.24779999999999999</v>
      </c>
      <c r="Z58" s="1">
        <v>0.22140000000000001</v>
      </c>
      <c r="AA58" s="1">
        <v>5126</v>
      </c>
      <c r="AB58" s="1">
        <v>16</v>
      </c>
      <c r="AC58" s="29">
        <v>816</v>
      </c>
    </row>
    <row r="59" spans="1:29">
      <c r="A59" s="12">
        <v>5</v>
      </c>
      <c r="B59" s="12" t="s">
        <v>12</v>
      </c>
      <c r="C59" s="12">
        <v>5353</v>
      </c>
      <c r="D59" s="12" t="s">
        <v>69</v>
      </c>
      <c r="E59" s="17">
        <v>0.79772151898734178</v>
      </c>
      <c r="F59" s="17">
        <v>0.20227848101265822</v>
      </c>
      <c r="G59" s="13">
        <v>0.67567567567567566</v>
      </c>
      <c r="H59" s="13">
        <v>3.9387500000000002</v>
      </c>
      <c r="I59" s="14">
        <v>8.2817239904113915</v>
      </c>
      <c r="J59" s="16">
        <v>0.73529999999999995</v>
      </c>
      <c r="K59" s="16">
        <v>0.73529999999999995</v>
      </c>
      <c r="L59" s="13">
        <v>0.3478</v>
      </c>
      <c r="M59" s="13">
        <v>4.1099999999999998E-2</v>
      </c>
      <c r="N59" s="13">
        <v>0.1062</v>
      </c>
      <c r="O59" s="13">
        <v>5.8099999999999999E-2</v>
      </c>
      <c r="P59" s="16">
        <v>0.56810000000000005</v>
      </c>
      <c r="Q59" s="16">
        <v>0.51170000000000004</v>
      </c>
      <c r="R59" s="16">
        <v>0.51170000000000004</v>
      </c>
      <c r="S59" s="16">
        <f t="shared" si="0"/>
        <v>0.53050000000000008</v>
      </c>
      <c r="T59" s="18">
        <v>0.7635294117647059</v>
      </c>
      <c r="U59" s="1">
        <v>0</v>
      </c>
      <c r="V59" s="1">
        <f t="shared" si="1"/>
        <v>0</v>
      </c>
      <c r="W59" s="26"/>
      <c r="X59">
        <v>7.3899999999999993E-2</v>
      </c>
      <c r="Y59" s="1">
        <v>0.19769999999999999</v>
      </c>
      <c r="Z59" s="1">
        <v>0.1804</v>
      </c>
      <c r="AA59" s="1">
        <v>5862</v>
      </c>
      <c r="AB59" s="1">
        <v>26</v>
      </c>
      <c r="AC59" s="29">
        <v>1038</v>
      </c>
    </row>
    <row r="60" spans="1:29">
      <c r="A60" s="12">
        <v>5</v>
      </c>
      <c r="B60" s="12" t="s">
        <v>12</v>
      </c>
      <c r="C60" s="12">
        <v>5360</v>
      </c>
      <c r="D60" s="12" t="s">
        <v>70</v>
      </c>
      <c r="E60" s="17">
        <v>0.25309246024412485</v>
      </c>
      <c r="F60" s="17">
        <v>0.74689845096750151</v>
      </c>
      <c r="G60" s="13">
        <v>1</v>
      </c>
      <c r="H60" s="13">
        <v>0.33885655180805968</v>
      </c>
      <c r="I60" s="14">
        <v>12.707084269149544</v>
      </c>
      <c r="J60" s="16">
        <v>0.88580000000000003</v>
      </c>
      <c r="K60" s="16">
        <v>0.88260000000000005</v>
      </c>
      <c r="L60" s="13">
        <v>0.6018</v>
      </c>
      <c r="M60" s="13">
        <v>4.58E-2</v>
      </c>
      <c r="N60" s="13">
        <v>7.5899999999999995E-2</v>
      </c>
      <c r="O60" s="13">
        <v>6.8599999999999994E-2</v>
      </c>
      <c r="P60" s="16">
        <v>0.99340000000000006</v>
      </c>
      <c r="Q60" s="16">
        <v>0.98060000000000003</v>
      </c>
      <c r="R60" s="16">
        <v>0.98370000000000002</v>
      </c>
      <c r="S60" s="16">
        <f t="shared" si="0"/>
        <v>0.9859</v>
      </c>
      <c r="T60" s="18">
        <v>1</v>
      </c>
      <c r="U60" s="1">
        <v>7.9051383399999997</v>
      </c>
      <c r="V60" s="1">
        <f t="shared" si="1"/>
        <v>2.1866284517136014</v>
      </c>
      <c r="W60" s="25"/>
      <c r="X60">
        <v>0.76849999999999996</v>
      </c>
      <c r="Y60" s="1">
        <v>36.601500000000001</v>
      </c>
      <c r="Z60" s="1">
        <v>3.6269999999999998</v>
      </c>
      <c r="AA60" s="1">
        <v>302075</v>
      </c>
      <c r="AB60" s="1">
        <v>1771</v>
      </c>
      <c r="AC60" s="29">
        <v>41575</v>
      </c>
    </row>
    <row r="61" spans="1:29">
      <c r="A61" s="12">
        <v>5</v>
      </c>
      <c r="B61" s="12" t="s">
        <v>12</v>
      </c>
      <c r="C61" s="12">
        <v>5361</v>
      </c>
      <c r="D61" s="12" t="s">
        <v>71</v>
      </c>
      <c r="E61" s="17">
        <v>0.89266564534661053</v>
      </c>
      <c r="F61" s="17">
        <v>0.1073343546533895</v>
      </c>
      <c r="G61" s="13">
        <v>0.72301834544825194</v>
      </c>
      <c r="H61" s="13">
        <v>8.312973695942933</v>
      </c>
      <c r="I61" s="14">
        <v>9.9469779836106564</v>
      </c>
      <c r="J61" s="16">
        <v>0.64180000000000004</v>
      </c>
      <c r="K61" s="16">
        <v>0.64180000000000004</v>
      </c>
      <c r="L61" s="13">
        <v>0.35909999999999997</v>
      </c>
      <c r="M61" s="13">
        <v>3.85E-2</v>
      </c>
      <c r="N61" s="13">
        <v>5.8900000000000001E-2</v>
      </c>
      <c r="O61" s="13">
        <v>2.93E-2</v>
      </c>
      <c r="P61" s="16">
        <v>0.89439999999999997</v>
      </c>
      <c r="Q61" s="16">
        <v>0.88159999999999994</v>
      </c>
      <c r="R61" s="16">
        <v>0.88159999999999994</v>
      </c>
      <c r="S61" s="16">
        <f t="shared" si="0"/>
        <v>0.88586666666666647</v>
      </c>
      <c r="T61" s="18">
        <v>0.98375555985302598</v>
      </c>
      <c r="U61" s="1">
        <v>6.2893081759999996</v>
      </c>
      <c r="V61" s="1">
        <f t="shared" si="1"/>
        <v>1.9864086411057151</v>
      </c>
      <c r="W61" s="26"/>
      <c r="X61">
        <v>0.10059999999999999</v>
      </c>
      <c r="Y61" s="1">
        <v>2.01E-2</v>
      </c>
      <c r="Z61" s="1">
        <v>1.9900000000000001E-2</v>
      </c>
      <c r="AA61" s="1">
        <v>29342</v>
      </c>
      <c r="AB61" s="1">
        <v>159</v>
      </c>
      <c r="AC61" s="29">
        <v>5663</v>
      </c>
    </row>
    <row r="62" spans="1:29">
      <c r="A62" s="12">
        <v>5</v>
      </c>
      <c r="B62" s="12" t="s">
        <v>12</v>
      </c>
      <c r="C62" s="12">
        <v>5364</v>
      </c>
      <c r="D62" s="12" t="s">
        <v>72</v>
      </c>
      <c r="E62" s="17">
        <v>0.74465599010241257</v>
      </c>
      <c r="F62" s="17">
        <v>0.25534400989758749</v>
      </c>
      <c r="G62" s="13">
        <v>0.93785857023141883</v>
      </c>
      <c r="H62" s="13">
        <v>2.9155005382131325</v>
      </c>
      <c r="I62" s="14">
        <v>9.5853462725996383</v>
      </c>
      <c r="J62" s="16">
        <v>0.83360000000000001</v>
      </c>
      <c r="K62" s="16">
        <v>0.83360000000000001</v>
      </c>
      <c r="L62" s="13">
        <v>0.64659999999999995</v>
      </c>
      <c r="M62" s="13">
        <v>3.6700000000000003E-2</v>
      </c>
      <c r="N62" s="13">
        <v>6.9099999999999995E-2</v>
      </c>
      <c r="O62" s="13">
        <v>3.5700000000000003E-2</v>
      </c>
      <c r="P62" s="16">
        <v>0.62519999999999998</v>
      </c>
      <c r="Q62" s="16">
        <v>0.38159999999999994</v>
      </c>
      <c r="R62" s="16">
        <v>0.38280000000000003</v>
      </c>
      <c r="S62" s="16">
        <f t="shared" si="0"/>
        <v>0.4632</v>
      </c>
      <c r="T62" s="18">
        <v>1</v>
      </c>
      <c r="U62" s="1">
        <v>26.086956520000001</v>
      </c>
      <c r="V62" s="1">
        <f t="shared" si="1"/>
        <v>3.2990523027940979</v>
      </c>
      <c r="W62" s="25"/>
      <c r="X62">
        <v>0.1532</v>
      </c>
      <c r="Y62" s="1">
        <v>0.14599999999999999</v>
      </c>
      <c r="Z62" s="1">
        <v>0.13619999999999999</v>
      </c>
      <c r="AA62" s="1">
        <v>15350</v>
      </c>
      <c r="AB62" s="1">
        <v>115</v>
      </c>
      <c r="AC62" s="29">
        <v>2614</v>
      </c>
    </row>
    <row r="63" spans="1:29">
      <c r="A63" s="12">
        <v>5</v>
      </c>
      <c r="B63" s="12" t="s">
        <v>12</v>
      </c>
      <c r="C63" s="12">
        <v>5368</v>
      </c>
      <c r="D63" s="12" t="s">
        <v>73</v>
      </c>
      <c r="E63" s="17">
        <v>0.69603203494721511</v>
      </c>
      <c r="F63" s="17">
        <v>0.30387695668001458</v>
      </c>
      <c r="G63" s="13">
        <v>0.7602047876020479</v>
      </c>
      <c r="H63" s="13">
        <v>2.2898203592814372</v>
      </c>
      <c r="I63" s="14">
        <v>9.3046500514469237</v>
      </c>
      <c r="J63" s="16">
        <v>0.70909999999999995</v>
      </c>
      <c r="K63" s="16">
        <v>0.70909999999999995</v>
      </c>
      <c r="L63" s="13">
        <v>0.51519999999999999</v>
      </c>
      <c r="M63" s="13">
        <v>2.3699999999999999E-2</v>
      </c>
      <c r="N63" s="13">
        <v>6.1400000000000003E-2</v>
      </c>
      <c r="O63" s="13">
        <v>5.3699999999999998E-2</v>
      </c>
      <c r="P63" s="16">
        <v>0.3528</v>
      </c>
      <c r="Q63" s="16">
        <v>0.35289999999999999</v>
      </c>
      <c r="R63" s="16">
        <v>0.3649</v>
      </c>
      <c r="S63" s="16">
        <f t="shared" si="0"/>
        <v>0.35686666666666667</v>
      </c>
      <c r="T63" s="18">
        <v>0.97668711656441698</v>
      </c>
      <c r="U63" s="1">
        <v>0</v>
      </c>
      <c r="V63" s="1">
        <f t="shared" si="1"/>
        <v>0</v>
      </c>
      <c r="W63" s="26"/>
      <c r="X63">
        <v>0.123</v>
      </c>
      <c r="Y63" s="1">
        <v>0.37990000000000002</v>
      </c>
      <c r="Z63" s="1">
        <v>0.32200000000000001</v>
      </c>
      <c r="AA63" s="1">
        <v>14317</v>
      </c>
      <c r="AB63" s="1">
        <v>64</v>
      </c>
      <c r="AC63" s="29">
        <v>2248</v>
      </c>
    </row>
    <row r="64" spans="1:29">
      <c r="A64" s="12">
        <v>5</v>
      </c>
      <c r="B64" s="12" t="s">
        <v>12</v>
      </c>
      <c r="C64" s="12">
        <v>5376</v>
      </c>
      <c r="D64" s="12" t="s">
        <v>74</v>
      </c>
      <c r="E64" s="17">
        <v>0.23035956866186599</v>
      </c>
      <c r="F64" s="17">
        <v>0.76962840965101043</v>
      </c>
      <c r="G64" s="13">
        <v>1</v>
      </c>
      <c r="H64" s="13">
        <v>0.29930803954952279</v>
      </c>
      <c r="I64" s="14">
        <v>11.328810300623497</v>
      </c>
      <c r="J64" s="16">
        <v>0.88870000000000005</v>
      </c>
      <c r="K64" s="16">
        <v>0.88849999999999996</v>
      </c>
      <c r="L64" s="13">
        <v>0.5534</v>
      </c>
      <c r="M64" s="13">
        <v>2.7099999999999999E-2</v>
      </c>
      <c r="N64" s="13">
        <v>7.7899999999999997E-2</v>
      </c>
      <c r="O64" s="13">
        <v>6.3299999999999995E-2</v>
      </c>
      <c r="P64" s="16">
        <v>0.96739999999999993</v>
      </c>
      <c r="Q64" s="16">
        <v>0.96189999999999998</v>
      </c>
      <c r="R64" s="16">
        <v>0.96550000000000002</v>
      </c>
      <c r="S64" s="16">
        <f t="shared" si="0"/>
        <v>0.96493333333333331</v>
      </c>
      <c r="T64" s="18">
        <v>1</v>
      </c>
      <c r="U64" s="1">
        <v>9.4161958569999999</v>
      </c>
      <c r="V64" s="1">
        <f t="shared" si="1"/>
        <v>2.3433618887648526</v>
      </c>
      <c r="W64" s="25"/>
      <c r="X64">
        <v>0.2334</v>
      </c>
      <c r="Y64" s="1">
        <v>4.8811999999999998</v>
      </c>
      <c r="Z64" s="1">
        <v>1.7718</v>
      </c>
      <c r="AA64" s="1">
        <v>72033</v>
      </c>
      <c r="AB64" s="1">
        <v>531</v>
      </c>
      <c r="AC64" s="29">
        <v>11614</v>
      </c>
    </row>
    <row r="65" spans="1:29">
      <c r="A65" s="12">
        <v>5</v>
      </c>
      <c r="B65" s="12" t="s">
        <v>12</v>
      </c>
      <c r="C65" s="12">
        <v>5380</v>
      </c>
      <c r="D65" s="12" t="s">
        <v>75</v>
      </c>
      <c r="E65" s="17">
        <v>0.25757010558411858</v>
      </c>
      <c r="F65" s="17">
        <v>0.74242989441588136</v>
      </c>
      <c r="G65" s="13">
        <v>0.79443635567123216</v>
      </c>
      <c r="H65" s="13">
        <v>0.34692094283155295</v>
      </c>
      <c r="I65" s="14">
        <v>11.029358264975064</v>
      </c>
      <c r="J65" s="16">
        <v>1.2323</v>
      </c>
      <c r="K65" s="16">
        <v>1.2255</v>
      </c>
      <c r="L65" s="13">
        <v>0.78059999999999996</v>
      </c>
      <c r="M65" s="13">
        <v>2.8000000000000001E-2</v>
      </c>
      <c r="N65" s="13">
        <v>8.5099999999999995E-2</v>
      </c>
      <c r="O65" s="13">
        <v>8.2900000000000001E-2</v>
      </c>
      <c r="P65" s="16">
        <v>0.91459999999999997</v>
      </c>
      <c r="Q65" s="16">
        <v>0.81959999999999988</v>
      </c>
      <c r="R65" s="16">
        <v>0.96889999999999998</v>
      </c>
      <c r="S65" s="16">
        <f t="shared" si="0"/>
        <v>0.90103333333333335</v>
      </c>
      <c r="T65" s="18">
        <v>1</v>
      </c>
      <c r="U65" s="1">
        <v>7.4906367039999999</v>
      </c>
      <c r="V65" s="1">
        <f t="shared" si="1"/>
        <v>2.138963992093164</v>
      </c>
      <c r="W65" s="26"/>
      <c r="X65">
        <v>0.88780000000000003</v>
      </c>
      <c r="Y65" s="1">
        <v>9.1501000000000001</v>
      </c>
      <c r="Z65" s="1">
        <v>2.3174999999999999</v>
      </c>
      <c r="AA65" s="1">
        <v>81925</v>
      </c>
      <c r="AB65" s="1">
        <v>534</v>
      </c>
      <c r="AC65" s="29">
        <v>11666</v>
      </c>
    </row>
    <row r="66" spans="1:29">
      <c r="A66" s="12">
        <v>5</v>
      </c>
      <c r="B66" s="12" t="s">
        <v>12</v>
      </c>
      <c r="C66" s="12">
        <v>5390</v>
      </c>
      <c r="D66" s="12" t="s">
        <v>76</v>
      </c>
      <c r="E66" s="17">
        <v>0.63423171158557923</v>
      </c>
      <c r="F66" s="17">
        <v>0.36576828841442072</v>
      </c>
      <c r="G66" s="13">
        <v>0.99500812630601343</v>
      </c>
      <c r="H66" s="13">
        <v>1.7334183673469388</v>
      </c>
      <c r="I66" s="14">
        <v>9.0562563565934671</v>
      </c>
      <c r="J66" s="16">
        <v>0.79679999999999995</v>
      </c>
      <c r="K66" s="16">
        <v>0.79679999999999995</v>
      </c>
      <c r="L66" s="13">
        <v>0.42649999999999999</v>
      </c>
      <c r="M66" s="13">
        <v>3.6600000000000001E-2</v>
      </c>
      <c r="N66" s="13">
        <v>0.1215</v>
      </c>
      <c r="O66" s="13">
        <v>0.1154</v>
      </c>
      <c r="P66" s="16">
        <v>0.83</v>
      </c>
      <c r="Q66" s="16">
        <v>0.56069999999999998</v>
      </c>
      <c r="R66" s="16">
        <v>0.80900000000000005</v>
      </c>
      <c r="S66" s="16">
        <f t="shared" ref="S66:S129" si="2">+(P66+Q66+R66)/3</f>
        <v>0.73323333333333329</v>
      </c>
      <c r="T66" s="18">
        <v>1</v>
      </c>
      <c r="U66" s="1">
        <v>0</v>
      </c>
      <c r="V66" s="1">
        <f t="shared" ref="V66:V129" si="3">LN(U66+1)</f>
        <v>0</v>
      </c>
      <c r="W66" s="25"/>
      <c r="X66">
        <v>0.2389</v>
      </c>
      <c r="Y66" s="1">
        <v>0.89319999999999999</v>
      </c>
      <c r="Z66" s="1">
        <v>0.63819999999999999</v>
      </c>
      <c r="AA66" s="1">
        <v>8554</v>
      </c>
      <c r="AB66" s="1">
        <v>62</v>
      </c>
      <c r="AC66" s="29">
        <v>1586</v>
      </c>
    </row>
    <row r="67" spans="1:29">
      <c r="A67" s="12">
        <v>5</v>
      </c>
      <c r="B67" s="12" t="s">
        <v>12</v>
      </c>
      <c r="C67" s="12">
        <v>5400</v>
      </c>
      <c r="D67" s="12" t="s">
        <v>77</v>
      </c>
      <c r="E67" s="17">
        <v>0.46760540452547616</v>
      </c>
      <c r="F67" s="17">
        <v>0.53239459547452384</v>
      </c>
      <c r="G67" s="13">
        <v>1</v>
      </c>
      <c r="H67" s="13">
        <v>0.87823893602384773</v>
      </c>
      <c r="I67" s="14">
        <v>10.109403558183711</v>
      </c>
      <c r="J67" s="16">
        <v>0.96330000000000005</v>
      </c>
      <c r="K67" s="16">
        <v>0.96260000000000001</v>
      </c>
      <c r="L67" s="13">
        <v>0.65849999999999997</v>
      </c>
      <c r="M67" s="13">
        <v>4.2700000000000002E-2</v>
      </c>
      <c r="N67" s="13">
        <v>8.7999999999999995E-2</v>
      </c>
      <c r="O67" s="13">
        <v>0.1089</v>
      </c>
      <c r="P67" s="16">
        <v>0.82069999999999999</v>
      </c>
      <c r="Q67" s="16">
        <v>0.55630000000000002</v>
      </c>
      <c r="R67" s="16">
        <v>0.59060000000000001</v>
      </c>
      <c r="S67" s="16">
        <f t="shared" si="2"/>
        <v>0.65586666666666671</v>
      </c>
      <c r="T67" s="18">
        <v>1</v>
      </c>
      <c r="U67" s="1">
        <v>10.362694299999999</v>
      </c>
      <c r="V67" s="1">
        <f t="shared" si="3"/>
        <v>2.430335559467403</v>
      </c>
      <c r="W67" s="26"/>
      <c r="X67">
        <v>0.17860000000000001</v>
      </c>
      <c r="Y67" s="1">
        <v>0.81979999999999997</v>
      </c>
      <c r="Z67" s="1">
        <v>0.59870000000000001</v>
      </c>
      <c r="AA67" s="1">
        <v>23718</v>
      </c>
      <c r="AB67" s="1">
        <v>193</v>
      </c>
      <c r="AC67" s="29">
        <v>4436</v>
      </c>
    </row>
    <row r="68" spans="1:29">
      <c r="A68" s="12">
        <v>5</v>
      </c>
      <c r="B68" s="12" t="s">
        <v>12</v>
      </c>
      <c r="C68" s="12">
        <v>5411</v>
      </c>
      <c r="D68" s="12" t="s">
        <v>78</v>
      </c>
      <c r="E68" s="17">
        <v>0.88032367972742764</v>
      </c>
      <c r="F68" s="17">
        <v>0.1196763202725724</v>
      </c>
      <c r="G68" s="13">
        <v>0.881960747488027</v>
      </c>
      <c r="H68" s="13">
        <v>7.3493333333333331</v>
      </c>
      <c r="I68" s="14">
        <v>9.1477200099945151</v>
      </c>
      <c r="J68" s="16">
        <v>0.70399999999999996</v>
      </c>
      <c r="K68" s="16">
        <v>0.70399999999999996</v>
      </c>
      <c r="L68" s="13">
        <v>0.4904</v>
      </c>
      <c r="M68" s="13">
        <v>1.06E-2</v>
      </c>
      <c r="N68" s="13">
        <v>7.1199999999999999E-2</v>
      </c>
      <c r="O68" s="13">
        <v>1.6199999999999999E-2</v>
      </c>
      <c r="P68" s="16">
        <v>0.48780000000000001</v>
      </c>
      <c r="Q68" s="16">
        <v>0.2928</v>
      </c>
      <c r="R68" s="16">
        <v>0.36649999999999999</v>
      </c>
      <c r="S68" s="16">
        <f t="shared" si="2"/>
        <v>0.38236666666666669</v>
      </c>
      <c r="T68" s="18">
        <v>1</v>
      </c>
      <c r="U68" s="1">
        <v>0</v>
      </c>
      <c r="V68" s="1">
        <f t="shared" si="3"/>
        <v>0</v>
      </c>
      <c r="W68" s="25"/>
      <c r="X68">
        <v>5.67E-2</v>
      </c>
      <c r="Y68" s="1">
        <v>0.1178</v>
      </c>
      <c r="Z68" s="1">
        <v>0.1113</v>
      </c>
      <c r="AA68" s="1">
        <v>10817</v>
      </c>
      <c r="AB68" s="1">
        <v>51</v>
      </c>
      <c r="AC68" s="29">
        <v>2100</v>
      </c>
    </row>
    <row r="69" spans="1:29">
      <c r="A69" s="12">
        <v>5</v>
      </c>
      <c r="B69" s="12" t="s">
        <v>12</v>
      </c>
      <c r="C69" s="12">
        <v>5425</v>
      </c>
      <c r="D69" s="12" t="s">
        <v>79</v>
      </c>
      <c r="E69" s="17">
        <v>0.75052089044851411</v>
      </c>
      <c r="F69" s="17">
        <v>0.24947910955148592</v>
      </c>
      <c r="G69" s="13">
        <v>1</v>
      </c>
      <c r="H69" s="13">
        <v>3.0070298769771528</v>
      </c>
      <c r="I69" s="14">
        <v>9.1182250830683778</v>
      </c>
      <c r="J69" s="16">
        <v>0.9607</v>
      </c>
      <c r="K69" s="16">
        <v>0.9607</v>
      </c>
      <c r="L69" s="13">
        <v>0.49399999999999999</v>
      </c>
      <c r="M69" s="13">
        <v>3.0499999999999999E-2</v>
      </c>
      <c r="N69" s="13">
        <v>0.1043</v>
      </c>
      <c r="O69" s="13">
        <v>7.5600000000000001E-2</v>
      </c>
      <c r="P69" s="16">
        <v>0.3987</v>
      </c>
      <c r="Q69" s="16">
        <v>0.37990000000000002</v>
      </c>
      <c r="R69" s="16">
        <v>0.36329999999999996</v>
      </c>
      <c r="S69" s="16">
        <f t="shared" si="2"/>
        <v>0.38063333333333332</v>
      </c>
      <c r="T69" s="18">
        <v>1</v>
      </c>
      <c r="U69" s="1">
        <v>0</v>
      </c>
      <c r="V69" s="1">
        <f t="shared" si="3"/>
        <v>0</v>
      </c>
      <c r="W69" s="26"/>
      <c r="X69">
        <v>0.38319999999999999</v>
      </c>
      <c r="Y69" s="1">
        <v>9.0499999999999997E-2</v>
      </c>
      <c r="Z69" s="1">
        <v>8.6599999999999996E-2</v>
      </c>
      <c r="AA69" s="1">
        <v>8808</v>
      </c>
      <c r="AB69" s="1">
        <v>64</v>
      </c>
      <c r="AC69" s="29">
        <v>1796</v>
      </c>
    </row>
    <row r="70" spans="1:29">
      <c r="A70" s="12">
        <v>5</v>
      </c>
      <c r="B70" s="12" t="s">
        <v>12</v>
      </c>
      <c r="C70" s="12">
        <v>5440</v>
      </c>
      <c r="D70" s="12" t="s">
        <v>80</v>
      </c>
      <c r="E70" s="17">
        <v>0.39092699579831935</v>
      </c>
      <c r="F70" s="17">
        <v>0.60905987394957983</v>
      </c>
      <c r="G70" s="13">
        <v>1</v>
      </c>
      <c r="H70" s="13">
        <v>0.64183930842692993</v>
      </c>
      <c r="I70" s="14">
        <v>11.240604799631146</v>
      </c>
      <c r="J70" s="16">
        <v>0.9919</v>
      </c>
      <c r="K70" s="16">
        <v>0.99170000000000003</v>
      </c>
      <c r="L70" s="13">
        <v>0.58479999999999999</v>
      </c>
      <c r="M70" s="13">
        <v>3.8600000000000002E-2</v>
      </c>
      <c r="N70" s="13">
        <v>8.8700000000000001E-2</v>
      </c>
      <c r="O70" s="13">
        <v>8.7499999999999994E-2</v>
      </c>
      <c r="P70" s="16">
        <v>0.65569999999999995</v>
      </c>
      <c r="Q70" s="16">
        <v>0.63029999999999997</v>
      </c>
      <c r="R70" s="16">
        <v>0.76619999999999999</v>
      </c>
      <c r="S70" s="16">
        <f t="shared" si="2"/>
        <v>0.68406666666666671</v>
      </c>
      <c r="T70" s="18">
        <v>1</v>
      </c>
      <c r="U70" s="1">
        <v>8.2758620690000004</v>
      </c>
      <c r="V70" s="1">
        <f t="shared" si="3"/>
        <v>2.2274155496190824</v>
      </c>
      <c r="W70" s="25"/>
      <c r="X70">
        <v>0.25800000000000001</v>
      </c>
      <c r="Y70" s="1">
        <v>4.3132999999999999</v>
      </c>
      <c r="Z70" s="1">
        <v>1.6701999999999999</v>
      </c>
      <c r="AA70" s="1">
        <v>73095</v>
      </c>
      <c r="AB70" s="1">
        <v>725</v>
      </c>
      <c r="AC70" s="29">
        <v>12646</v>
      </c>
    </row>
    <row r="71" spans="1:29">
      <c r="A71" s="12">
        <v>5</v>
      </c>
      <c r="B71" s="12" t="s">
        <v>12</v>
      </c>
      <c r="C71" s="12">
        <v>5467</v>
      </c>
      <c r="D71" s="12" t="s">
        <v>82</v>
      </c>
      <c r="E71" s="17">
        <v>0.864247311827957</v>
      </c>
      <c r="F71" s="17">
        <v>0.135752688172043</v>
      </c>
      <c r="G71" s="13">
        <v>0.84605543710021325</v>
      </c>
      <c r="H71" s="13">
        <v>6.358467243510507</v>
      </c>
      <c r="I71" s="14">
        <v>8.6916505731533906</v>
      </c>
      <c r="J71" s="16">
        <v>0.75219999999999998</v>
      </c>
      <c r="K71" s="16">
        <v>0.75219999999999998</v>
      </c>
      <c r="L71" s="13">
        <v>0.48370000000000002</v>
      </c>
      <c r="M71" s="13">
        <v>3.3700000000000001E-2</v>
      </c>
      <c r="N71" s="13">
        <v>0.1167</v>
      </c>
      <c r="O71" s="13">
        <v>4.7100000000000003E-2</v>
      </c>
      <c r="P71" s="16">
        <v>0.31480000000000002</v>
      </c>
      <c r="Q71" s="16">
        <v>0.1986</v>
      </c>
      <c r="R71" s="16">
        <v>0.19829999999999998</v>
      </c>
      <c r="S71" s="16">
        <f t="shared" si="2"/>
        <v>0.23723333333333332</v>
      </c>
      <c r="T71" s="18">
        <v>0.96652421652421594</v>
      </c>
      <c r="U71" s="1">
        <v>0</v>
      </c>
      <c r="V71" s="1">
        <f t="shared" si="3"/>
        <v>0</v>
      </c>
      <c r="W71" s="25"/>
      <c r="X71">
        <v>6.3399999999999998E-2</v>
      </c>
      <c r="Y71" s="1">
        <v>0.2828</v>
      </c>
      <c r="Z71" s="1">
        <v>0.249</v>
      </c>
      <c r="AA71" s="1">
        <v>6595</v>
      </c>
      <c r="AB71" s="1">
        <v>36</v>
      </c>
      <c r="AC71" s="29">
        <v>1124</v>
      </c>
    </row>
    <row r="72" spans="1:29">
      <c r="A72" s="12">
        <v>5</v>
      </c>
      <c r="B72" s="12" t="s">
        <v>12</v>
      </c>
      <c r="C72" s="12">
        <v>5475</v>
      </c>
      <c r="D72" s="12" t="s">
        <v>83</v>
      </c>
      <c r="E72" s="17">
        <v>0.93262283236994215</v>
      </c>
      <c r="F72" s="17">
        <v>6.7377167630057799E-2</v>
      </c>
      <c r="G72" s="13">
        <v>1</v>
      </c>
      <c r="H72" s="13">
        <v>13.804812834224599</v>
      </c>
      <c r="I72" s="14">
        <v>8.6192081168229677</v>
      </c>
      <c r="J72" s="16">
        <v>0.7389</v>
      </c>
      <c r="K72" s="16">
        <v>0.7389</v>
      </c>
      <c r="L72" s="13">
        <v>0.18629999999999999</v>
      </c>
      <c r="M72" s="13">
        <v>1.1900000000000001E-2</v>
      </c>
      <c r="N72" s="13">
        <v>0.18190000000000001</v>
      </c>
      <c r="O72" s="13">
        <v>0.1391</v>
      </c>
      <c r="P72" s="16">
        <v>0</v>
      </c>
      <c r="Q72" s="16">
        <v>0</v>
      </c>
      <c r="R72" s="16">
        <v>0</v>
      </c>
      <c r="S72" s="16">
        <f t="shared" si="2"/>
        <v>0</v>
      </c>
      <c r="T72" s="18">
        <v>0.32528409090909</v>
      </c>
      <c r="U72" s="1">
        <v>24.09638554</v>
      </c>
      <c r="V72" s="1">
        <f t="shared" si="3"/>
        <v>3.2227238333779602</v>
      </c>
      <c r="W72" s="26"/>
      <c r="X72">
        <v>0.01</v>
      </c>
      <c r="Y72" s="1">
        <v>0</v>
      </c>
      <c r="Z72" s="1">
        <v>0</v>
      </c>
      <c r="AA72" s="1">
        <v>5769</v>
      </c>
      <c r="AB72" s="1">
        <v>83</v>
      </c>
      <c r="AC72" s="29">
        <v>1827</v>
      </c>
    </row>
    <row r="73" spans="1:29">
      <c r="A73" s="12">
        <v>5</v>
      </c>
      <c r="B73" s="12" t="s">
        <v>12</v>
      </c>
      <c r="C73" s="12">
        <v>5480</v>
      </c>
      <c r="D73" s="12" t="s">
        <v>84</v>
      </c>
      <c r="E73" s="17">
        <v>0.9076257213520198</v>
      </c>
      <c r="F73" s="17">
        <v>9.2374278647980215E-2</v>
      </c>
      <c r="G73" s="13">
        <v>1</v>
      </c>
      <c r="H73" s="13">
        <v>9.8211418376449604</v>
      </c>
      <c r="I73" s="14">
        <v>10.096625401763932</v>
      </c>
      <c r="J73" s="16">
        <v>0.96850000000000003</v>
      </c>
      <c r="K73" s="16">
        <v>0.96850000000000003</v>
      </c>
      <c r="L73" s="13">
        <v>0.37159999999999999</v>
      </c>
      <c r="M73" s="13">
        <v>7.3700000000000002E-2</v>
      </c>
      <c r="N73" s="13">
        <v>0.1105</v>
      </c>
      <c r="O73" s="13">
        <v>9.4399999999999998E-2</v>
      </c>
      <c r="P73" s="16">
        <v>0.28399999999999997</v>
      </c>
      <c r="Q73" s="16">
        <v>0.28399999999999997</v>
      </c>
      <c r="R73" s="16">
        <v>0.49859999999999999</v>
      </c>
      <c r="S73" s="16">
        <f t="shared" si="2"/>
        <v>0.35553333333333331</v>
      </c>
      <c r="T73" s="18">
        <v>1</v>
      </c>
      <c r="U73" s="1">
        <v>32.407407409999998</v>
      </c>
      <c r="V73" s="1">
        <f t="shared" si="3"/>
        <v>3.5087776541358999</v>
      </c>
      <c r="W73" s="25"/>
      <c r="X73">
        <v>7.8299999999999995E-2</v>
      </c>
      <c r="Y73" s="1">
        <v>3.3099999999999997E-2</v>
      </c>
      <c r="Z73" s="1">
        <v>3.2599999999999997E-2</v>
      </c>
      <c r="AA73" s="1">
        <v>13872</v>
      </c>
      <c r="AB73" s="1">
        <v>216</v>
      </c>
      <c r="AC73" s="29">
        <v>3697</v>
      </c>
    </row>
    <row r="74" spans="1:29">
      <c r="A74" s="12">
        <v>5</v>
      </c>
      <c r="B74" s="12" t="s">
        <v>12</v>
      </c>
      <c r="C74" s="12">
        <v>5483</v>
      </c>
      <c r="D74" s="12" t="s">
        <v>85</v>
      </c>
      <c r="E74" s="17">
        <v>0.92451837035477413</v>
      </c>
      <c r="F74" s="17">
        <v>7.5481629645225812E-2</v>
      </c>
      <c r="G74" s="13">
        <v>0.87856085830558639</v>
      </c>
      <c r="H74" s="13">
        <v>12.231197771587743</v>
      </c>
      <c r="I74" s="14">
        <v>9.1590470775886317</v>
      </c>
      <c r="J74" s="16">
        <v>0.61760000000000004</v>
      </c>
      <c r="K74" s="16">
        <v>0.61760000000000004</v>
      </c>
      <c r="L74" s="13">
        <v>0.36080000000000001</v>
      </c>
      <c r="M74" s="13">
        <v>5.1900000000000002E-2</v>
      </c>
      <c r="N74" s="13">
        <v>9.3899999999999997E-2</v>
      </c>
      <c r="O74" s="13">
        <v>6.3100000000000003E-2</v>
      </c>
      <c r="P74" s="16">
        <v>0.3236</v>
      </c>
      <c r="Q74" s="16">
        <v>0.3236</v>
      </c>
      <c r="R74" s="16">
        <v>0.3236</v>
      </c>
      <c r="S74" s="16">
        <f t="shared" si="2"/>
        <v>0.3236</v>
      </c>
      <c r="T74" s="18">
        <v>1</v>
      </c>
      <c r="U74" s="1">
        <v>0</v>
      </c>
      <c r="V74" s="1">
        <f t="shared" si="3"/>
        <v>0</v>
      </c>
      <c r="W74" s="26"/>
      <c r="X74">
        <v>3.27E-2</v>
      </c>
      <c r="Y74" s="1">
        <v>3.7199999999999997E-2</v>
      </c>
      <c r="Z74" s="1">
        <v>3.6499999999999998E-2</v>
      </c>
      <c r="AA74" s="1">
        <v>10906</v>
      </c>
      <c r="AB74" s="1">
        <v>57</v>
      </c>
      <c r="AC74" s="29">
        <v>2339</v>
      </c>
    </row>
    <row r="75" spans="1:29">
      <c r="A75" s="12">
        <v>5</v>
      </c>
      <c r="B75" s="12" t="s">
        <v>12</v>
      </c>
      <c r="C75" s="12">
        <v>5490</v>
      </c>
      <c r="D75" s="12" t="s">
        <v>87</v>
      </c>
      <c r="E75" s="17">
        <v>0.90357154527333916</v>
      </c>
      <c r="F75" s="17">
        <v>9.6412116459170666E-2</v>
      </c>
      <c r="G75" s="13">
        <v>1</v>
      </c>
      <c r="H75" s="13">
        <v>9.3703829210437135</v>
      </c>
      <c r="I75" s="14">
        <v>11.022016841044596</v>
      </c>
      <c r="J75" s="16">
        <v>1.0567</v>
      </c>
      <c r="K75" s="16">
        <v>1.0567</v>
      </c>
      <c r="L75" s="13">
        <v>0.60780000000000001</v>
      </c>
      <c r="M75" s="13">
        <v>5.2299999999999999E-2</v>
      </c>
      <c r="N75" s="13">
        <v>9.2399999999999996E-2</v>
      </c>
      <c r="O75" s="13">
        <v>6.8900000000000003E-2</v>
      </c>
      <c r="P75" s="16">
        <v>0.67030000000000001</v>
      </c>
      <c r="Q75" s="16">
        <v>0.2475</v>
      </c>
      <c r="R75" s="16">
        <v>0.59250000000000003</v>
      </c>
      <c r="S75" s="16">
        <f t="shared" si="2"/>
        <v>0.50343333333333329</v>
      </c>
      <c r="T75" s="18">
        <v>1</v>
      </c>
      <c r="U75" s="1">
        <v>12.55230126</v>
      </c>
      <c r="V75" s="1">
        <f t="shared" si="3"/>
        <v>2.6065563675917791</v>
      </c>
      <c r="W75" s="26"/>
      <c r="X75">
        <v>9.6000000000000002E-2</v>
      </c>
      <c r="Y75" s="1">
        <v>0.105</v>
      </c>
      <c r="Z75" s="1">
        <v>9.98E-2</v>
      </c>
      <c r="AA75" s="1">
        <v>42718</v>
      </c>
      <c r="AB75" s="1">
        <v>717</v>
      </c>
      <c r="AC75" s="29">
        <v>11865</v>
      </c>
    </row>
    <row r="76" spans="1:29">
      <c r="A76" s="12">
        <v>5</v>
      </c>
      <c r="B76" s="12" t="s">
        <v>12</v>
      </c>
      <c r="C76" s="12">
        <v>5495</v>
      </c>
      <c r="D76" s="12" t="s">
        <v>86</v>
      </c>
      <c r="E76" s="17">
        <v>0.95735367269109606</v>
      </c>
      <c r="F76" s="17">
        <v>4.2646327308903997E-2</v>
      </c>
      <c r="G76" s="13">
        <v>1</v>
      </c>
      <c r="H76" s="13">
        <v>22.431235431235432</v>
      </c>
      <c r="I76" s="14">
        <v>10.314139187331593</v>
      </c>
      <c r="J76" s="16">
        <v>0.85929999999999995</v>
      </c>
      <c r="K76" s="16">
        <v>0.85929999999999995</v>
      </c>
      <c r="L76" s="13">
        <v>0.36940000000000001</v>
      </c>
      <c r="M76" s="13">
        <v>6.4399999999999999E-2</v>
      </c>
      <c r="N76" s="13">
        <v>9.4500000000000001E-2</v>
      </c>
      <c r="O76" s="13">
        <v>2.0500000000000001E-2</v>
      </c>
      <c r="P76" s="16">
        <v>0.62680000000000002</v>
      </c>
      <c r="Q76" s="16">
        <v>0</v>
      </c>
      <c r="R76" s="16">
        <v>0.56369999999999998</v>
      </c>
      <c r="S76" s="16">
        <f t="shared" si="2"/>
        <v>0.39683333333333337</v>
      </c>
      <c r="T76" s="18">
        <v>0.89981397820887599</v>
      </c>
      <c r="U76" s="1">
        <v>14.31980907</v>
      </c>
      <c r="V76" s="1">
        <f t="shared" si="3"/>
        <v>2.7291467014410502</v>
      </c>
      <c r="W76" s="25"/>
      <c r="X76">
        <v>2.7300000000000001E-2</v>
      </c>
      <c r="Y76" s="1">
        <v>7.2800000000000004E-2</v>
      </c>
      <c r="Z76" s="1">
        <v>7.0300000000000001E-2</v>
      </c>
      <c r="AA76" s="1">
        <v>28955</v>
      </c>
      <c r="AB76" s="1">
        <v>419</v>
      </c>
      <c r="AC76" s="29">
        <v>7986</v>
      </c>
    </row>
    <row r="77" spans="1:29">
      <c r="A77" s="12">
        <v>5</v>
      </c>
      <c r="B77" s="12" t="s">
        <v>12</v>
      </c>
      <c r="C77" s="12">
        <v>5501</v>
      </c>
      <c r="D77" s="12" t="s">
        <v>88</v>
      </c>
      <c r="E77" s="17">
        <v>0.88469690546841884</v>
      </c>
      <c r="F77" s="17">
        <v>0.11530309453158118</v>
      </c>
      <c r="G77" s="13">
        <v>0.70904718966035463</v>
      </c>
      <c r="H77" s="13">
        <v>7.6446886446886451</v>
      </c>
      <c r="I77" s="14">
        <v>7.7664168980196555</v>
      </c>
      <c r="J77" s="16">
        <v>0.76419999999999999</v>
      </c>
      <c r="K77" s="16">
        <v>0.76419999999999999</v>
      </c>
      <c r="L77" s="13">
        <v>0.50560000000000005</v>
      </c>
      <c r="M77" s="13">
        <v>2.4899999999999999E-2</v>
      </c>
      <c r="N77" s="13">
        <v>9.3399999999999997E-2</v>
      </c>
      <c r="O77" s="13">
        <v>6.6500000000000004E-2</v>
      </c>
      <c r="P77" s="16">
        <v>0.43060000000000004</v>
      </c>
      <c r="Q77" s="16">
        <v>0.25489999999999996</v>
      </c>
      <c r="R77" s="16">
        <v>0.40429999999999999</v>
      </c>
      <c r="S77" s="16">
        <f t="shared" si="2"/>
        <v>0.36326666666666663</v>
      </c>
      <c r="T77" s="18">
        <v>1</v>
      </c>
      <c r="U77" s="1">
        <v>0</v>
      </c>
      <c r="V77" s="1">
        <f t="shared" si="3"/>
        <v>0</v>
      </c>
      <c r="W77" s="25"/>
      <c r="X77">
        <v>3.5000000000000003E-2</v>
      </c>
      <c r="Y77" s="1">
        <v>0.16070000000000001</v>
      </c>
      <c r="Z77" s="1">
        <v>0.14899999999999999</v>
      </c>
      <c r="AA77" s="1">
        <v>3431</v>
      </c>
      <c r="AB77" s="1">
        <v>17</v>
      </c>
      <c r="AC77" s="29">
        <v>644</v>
      </c>
    </row>
    <row r="78" spans="1:29">
      <c r="A78" s="12">
        <v>5</v>
      </c>
      <c r="B78" s="12" t="s">
        <v>12</v>
      </c>
      <c r="C78" s="12">
        <v>5541</v>
      </c>
      <c r="D78" s="12" t="s">
        <v>89</v>
      </c>
      <c r="E78" s="17">
        <v>0.7063221654363051</v>
      </c>
      <c r="F78" s="17">
        <v>0.2936778345636949</v>
      </c>
      <c r="G78" s="13">
        <v>0.93537535410764872</v>
      </c>
      <c r="H78" s="13">
        <v>2.4047043660383438</v>
      </c>
      <c r="I78" s="14">
        <v>9.9585910787621525</v>
      </c>
      <c r="J78" s="16">
        <v>0.99170000000000003</v>
      </c>
      <c r="K78" s="16">
        <v>0.99170000000000003</v>
      </c>
      <c r="L78" s="13">
        <v>0.56859999999999999</v>
      </c>
      <c r="M78" s="13">
        <v>2.58E-2</v>
      </c>
      <c r="N78" s="13">
        <v>4.53E-2</v>
      </c>
      <c r="O78" s="13">
        <v>6.7199999999999996E-2</v>
      </c>
      <c r="P78" s="16">
        <v>0.20989999999999998</v>
      </c>
      <c r="Q78" s="16">
        <v>0.20989999999999998</v>
      </c>
      <c r="R78" s="16">
        <v>0.20989999999999998</v>
      </c>
      <c r="S78" s="16">
        <f t="shared" si="2"/>
        <v>0.20989999999999998</v>
      </c>
      <c r="T78" s="18">
        <v>0.885973620763012</v>
      </c>
      <c r="U78" s="1">
        <v>0</v>
      </c>
      <c r="V78" s="1">
        <f t="shared" si="3"/>
        <v>0</v>
      </c>
      <c r="W78" s="26"/>
      <c r="X78">
        <v>0.1087</v>
      </c>
      <c r="Y78" s="1">
        <v>1.4069</v>
      </c>
      <c r="Z78" s="1">
        <v>0.87829999999999997</v>
      </c>
      <c r="AA78" s="1">
        <v>23491</v>
      </c>
      <c r="AB78" s="1">
        <v>183</v>
      </c>
      <c r="AC78" s="29">
        <v>3959</v>
      </c>
    </row>
    <row r="79" spans="1:29">
      <c r="A79" s="12">
        <v>5</v>
      </c>
      <c r="B79" s="12" t="s">
        <v>12</v>
      </c>
      <c r="C79" s="12">
        <v>5543</v>
      </c>
      <c r="D79" s="12" t="s">
        <v>90</v>
      </c>
      <c r="E79" s="17">
        <v>0.93280430052476637</v>
      </c>
      <c r="F79" s="17">
        <v>6.7195699475233586E-2</v>
      </c>
      <c r="G79" s="13">
        <v>0.90386395187413238</v>
      </c>
      <c r="H79" s="13">
        <v>13.855513307984792</v>
      </c>
      <c r="I79" s="14">
        <v>8.963672275615016</v>
      </c>
      <c r="J79" s="16">
        <v>0.70189999999999997</v>
      </c>
      <c r="K79" s="16">
        <v>0.70189999999999997</v>
      </c>
      <c r="L79" s="13">
        <v>0.255</v>
      </c>
      <c r="M79" s="13">
        <v>1.7399999999999999E-2</v>
      </c>
      <c r="N79" s="13">
        <v>0.1051</v>
      </c>
      <c r="O79" s="13">
        <v>4.0599999999999997E-2</v>
      </c>
      <c r="P79" s="16">
        <v>0</v>
      </c>
      <c r="Q79" s="16">
        <v>0</v>
      </c>
      <c r="R79" s="16">
        <v>0</v>
      </c>
      <c r="S79" s="16">
        <f t="shared" si="2"/>
        <v>0</v>
      </c>
      <c r="T79" s="18">
        <v>1</v>
      </c>
      <c r="U79" s="1">
        <v>18.18181818</v>
      </c>
      <c r="V79" s="1">
        <f t="shared" si="3"/>
        <v>2.9539628605829091</v>
      </c>
      <c r="W79" s="25"/>
      <c r="X79">
        <v>8.9899999999999994E-2</v>
      </c>
      <c r="Y79" s="1">
        <v>1.89E-2</v>
      </c>
      <c r="Z79" s="1">
        <v>1.8800000000000001E-2</v>
      </c>
      <c r="AA79" s="1">
        <v>8733</v>
      </c>
      <c r="AB79" s="1">
        <v>55</v>
      </c>
      <c r="AC79" s="29">
        <v>2036</v>
      </c>
    </row>
    <row r="80" spans="1:29">
      <c r="A80" s="12">
        <v>5</v>
      </c>
      <c r="B80" s="12" t="s">
        <v>12</v>
      </c>
      <c r="C80" s="12">
        <v>5576</v>
      </c>
      <c r="D80" s="12" t="s">
        <v>91</v>
      </c>
      <c r="E80" s="17">
        <v>0.84750733137829914</v>
      </c>
      <c r="F80" s="17">
        <v>0.15249266862170088</v>
      </c>
      <c r="G80" s="13">
        <v>0.81561208958469233</v>
      </c>
      <c r="H80" s="13">
        <v>5.5528384279475986</v>
      </c>
      <c r="I80" s="14">
        <v>8.9230582195457284</v>
      </c>
      <c r="J80" s="16">
        <v>0.65700000000000003</v>
      </c>
      <c r="K80" s="16">
        <v>0.65700000000000003</v>
      </c>
      <c r="L80" s="13">
        <v>0.42649999999999999</v>
      </c>
      <c r="M80" s="13">
        <v>3.1600000000000003E-2</v>
      </c>
      <c r="N80" s="13">
        <v>7.46E-2</v>
      </c>
      <c r="O80" s="13">
        <v>7.7299999999999994E-2</v>
      </c>
      <c r="P80" s="16">
        <v>0.88450000000000006</v>
      </c>
      <c r="Q80" s="16">
        <v>0.53459999999999996</v>
      </c>
      <c r="R80" s="16">
        <v>0.56200000000000006</v>
      </c>
      <c r="S80" s="16">
        <f t="shared" si="2"/>
        <v>0.66036666666666666</v>
      </c>
      <c r="T80" s="18">
        <v>0.98664792691496794</v>
      </c>
      <c r="U80" s="1">
        <v>20.408163269999999</v>
      </c>
      <c r="V80" s="1">
        <f t="shared" si="3"/>
        <v>3.0637723105049268</v>
      </c>
      <c r="W80" s="26"/>
      <c r="X80">
        <v>3.8699999999999998E-2</v>
      </c>
      <c r="Y80" s="1">
        <v>0.22209999999999999</v>
      </c>
      <c r="Z80" s="1">
        <v>0.2006</v>
      </c>
      <c r="AA80" s="1">
        <v>9040</v>
      </c>
      <c r="AB80" s="1">
        <v>49</v>
      </c>
      <c r="AC80" s="29">
        <v>1753</v>
      </c>
    </row>
    <row r="81" spans="1:29">
      <c r="A81" s="12">
        <v>5</v>
      </c>
      <c r="B81" s="12" t="s">
        <v>12</v>
      </c>
      <c r="C81" s="12">
        <v>5579</v>
      </c>
      <c r="D81" s="12" t="s">
        <v>92</v>
      </c>
      <c r="E81" s="17">
        <v>0.6766895097522404</v>
      </c>
      <c r="F81" s="17">
        <v>0.32328940432261466</v>
      </c>
      <c r="G81" s="13">
        <v>1</v>
      </c>
      <c r="H81" s="13">
        <v>2.0930020217830823</v>
      </c>
      <c r="I81" s="14">
        <v>10.766925880506054</v>
      </c>
      <c r="J81" s="16">
        <v>0.7248</v>
      </c>
      <c r="K81" s="16">
        <v>0.72470000000000001</v>
      </c>
      <c r="L81" s="13">
        <v>0.46189999999999998</v>
      </c>
      <c r="M81" s="13">
        <v>2.8500000000000001E-2</v>
      </c>
      <c r="N81" s="13">
        <v>6.7500000000000004E-2</v>
      </c>
      <c r="O81" s="13">
        <v>2.87E-2</v>
      </c>
      <c r="P81" s="16">
        <v>0.92749999999999999</v>
      </c>
      <c r="Q81" s="16">
        <v>0.92749999999999999</v>
      </c>
      <c r="R81" s="16">
        <v>0.95739999999999992</v>
      </c>
      <c r="S81" s="16">
        <f t="shared" si="2"/>
        <v>0.93746666666666656</v>
      </c>
      <c r="T81" s="18">
        <v>0.80458071666050901</v>
      </c>
      <c r="U81" s="1">
        <v>13.586956519999999</v>
      </c>
      <c r="V81" s="1">
        <f t="shared" si="3"/>
        <v>2.6801277403633619</v>
      </c>
      <c r="W81" s="25"/>
      <c r="X81">
        <v>0.14560000000000001</v>
      </c>
      <c r="Y81" s="1">
        <v>8.1000000000000003E-2</v>
      </c>
      <c r="Z81" s="1">
        <v>7.7899999999999997E-2</v>
      </c>
      <c r="AA81" s="1">
        <v>39164</v>
      </c>
      <c r="AB81" s="1">
        <v>368</v>
      </c>
      <c r="AC81" s="29">
        <v>7374</v>
      </c>
    </row>
    <row r="82" spans="1:29">
      <c r="A82" s="12">
        <v>5</v>
      </c>
      <c r="B82" s="12" t="s">
        <v>12</v>
      </c>
      <c r="C82" s="12">
        <v>5585</v>
      </c>
      <c r="D82" s="12" t="s">
        <v>93</v>
      </c>
      <c r="E82" s="17">
        <v>0.75286718460969293</v>
      </c>
      <c r="F82" s="17">
        <v>0.24713281539030707</v>
      </c>
      <c r="G82" s="13">
        <v>0.7098214285714286</v>
      </c>
      <c r="H82" s="13">
        <v>3.0452674897119341</v>
      </c>
      <c r="I82" s="14">
        <v>9.2885043929455371</v>
      </c>
      <c r="J82" s="16">
        <v>0.67700000000000005</v>
      </c>
      <c r="K82" s="16">
        <v>0.67700000000000005</v>
      </c>
      <c r="L82" s="13">
        <v>0.35589999999999999</v>
      </c>
      <c r="M82" s="13">
        <v>3.3700000000000001E-2</v>
      </c>
      <c r="N82" s="13">
        <v>0.1123</v>
      </c>
      <c r="O82" s="13">
        <v>6.2399999999999997E-2</v>
      </c>
      <c r="P82" s="16">
        <v>0.98439999999999994</v>
      </c>
      <c r="Q82" s="16">
        <v>0.98370000000000002</v>
      </c>
      <c r="R82" s="16">
        <v>0.98439999999999994</v>
      </c>
      <c r="S82" s="16">
        <f t="shared" si="2"/>
        <v>0.98416666666666652</v>
      </c>
      <c r="T82" s="18">
        <v>0.84936049265750801</v>
      </c>
      <c r="U82" s="1">
        <v>0</v>
      </c>
      <c r="V82" s="1">
        <f t="shared" si="3"/>
        <v>0</v>
      </c>
      <c r="W82" s="26"/>
      <c r="X82">
        <v>0.38579999999999998</v>
      </c>
      <c r="Y82" s="1">
        <v>0.1711</v>
      </c>
      <c r="Z82" s="1">
        <v>0.15790000000000001</v>
      </c>
      <c r="AA82" s="1">
        <v>15465</v>
      </c>
      <c r="AB82" s="1">
        <v>76</v>
      </c>
      <c r="AC82" s="29">
        <v>3029</v>
      </c>
    </row>
    <row r="83" spans="1:29">
      <c r="A83" s="12">
        <v>5</v>
      </c>
      <c r="B83" s="12" t="s">
        <v>12</v>
      </c>
      <c r="C83" s="12">
        <v>5591</v>
      </c>
      <c r="D83" s="12" t="s">
        <v>94</v>
      </c>
      <c r="E83" s="17">
        <v>0.7452854069105177</v>
      </c>
      <c r="F83" s="17">
        <v>0.25471459308948236</v>
      </c>
      <c r="G83" s="13">
        <v>0.80812110054208852</v>
      </c>
      <c r="H83" s="13">
        <v>2.9252359662195726</v>
      </c>
      <c r="I83" s="14">
        <v>9.6679550744091038</v>
      </c>
      <c r="J83" s="16">
        <v>0.97950000000000004</v>
      </c>
      <c r="K83" s="16">
        <v>0.97950000000000004</v>
      </c>
      <c r="L83" s="13">
        <v>0.4214</v>
      </c>
      <c r="M83" s="13">
        <v>2.5700000000000001E-2</v>
      </c>
      <c r="N83" s="13">
        <v>0.1167</v>
      </c>
      <c r="O83" s="13">
        <v>4.7199999999999999E-2</v>
      </c>
      <c r="P83" s="16">
        <v>0.99360000000000004</v>
      </c>
      <c r="Q83" s="16">
        <v>0.871</v>
      </c>
      <c r="R83" s="16">
        <v>1</v>
      </c>
      <c r="S83" s="16">
        <f t="shared" si="2"/>
        <v>0.95486666666666675</v>
      </c>
      <c r="T83" s="18">
        <v>1</v>
      </c>
      <c r="U83" s="1">
        <v>0</v>
      </c>
      <c r="V83" s="1">
        <f t="shared" si="3"/>
        <v>0</v>
      </c>
      <c r="W83" s="25"/>
      <c r="X83">
        <v>0.19289999999999999</v>
      </c>
      <c r="Y83" s="1">
        <v>0.36680000000000001</v>
      </c>
      <c r="Z83" s="1">
        <v>0.3125</v>
      </c>
      <c r="AA83" s="1">
        <v>20006</v>
      </c>
      <c r="AB83" s="1">
        <v>207</v>
      </c>
      <c r="AC83" s="29">
        <v>3960</v>
      </c>
    </row>
    <row r="84" spans="1:29">
      <c r="A84" s="12">
        <v>5</v>
      </c>
      <c r="B84" s="12" t="s">
        <v>12</v>
      </c>
      <c r="C84" s="12">
        <v>5604</v>
      </c>
      <c r="D84" s="12" t="s">
        <v>95</v>
      </c>
      <c r="E84" s="17">
        <v>0.81927748364995323</v>
      </c>
      <c r="F84" s="17">
        <v>0.18072251635004671</v>
      </c>
      <c r="G84" s="13">
        <v>1</v>
      </c>
      <c r="H84" s="13">
        <v>4.5325637491385251</v>
      </c>
      <c r="I84" s="14">
        <v>10.376953929544751</v>
      </c>
      <c r="J84" s="16">
        <v>1.1233</v>
      </c>
      <c r="K84" s="16">
        <v>1.1233</v>
      </c>
      <c r="L84" s="13">
        <v>0.50719999999999998</v>
      </c>
      <c r="M84" s="13">
        <v>6.5299999999999997E-2</v>
      </c>
      <c r="N84" s="13">
        <v>8.0600000000000005E-2</v>
      </c>
      <c r="O84" s="13">
        <v>3.9199999999999999E-2</v>
      </c>
      <c r="P84" s="16">
        <v>0.47840000000000005</v>
      </c>
      <c r="Q84" s="16">
        <v>0.33979999999999999</v>
      </c>
      <c r="R84" s="16">
        <v>0.33979999999999999</v>
      </c>
      <c r="S84" s="16">
        <f t="shared" si="2"/>
        <v>0.38599999999999995</v>
      </c>
      <c r="T84" s="18">
        <v>1</v>
      </c>
      <c r="U84" s="1">
        <v>15.30612245</v>
      </c>
      <c r="V84" s="1">
        <f t="shared" si="3"/>
        <v>2.7915406477182261</v>
      </c>
      <c r="W84" s="26"/>
      <c r="X84">
        <v>0.1298</v>
      </c>
      <c r="Y84" s="1">
        <v>7.3099999999999998E-2</v>
      </c>
      <c r="Z84" s="1">
        <v>7.0599999999999996E-2</v>
      </c>
      <c r="AA84" s="1">
        <v>32457</v>
      </c>
      <c r="AB84" s="1">
        <v>392</v>
      </c>
      <c r="AC84" s="29">
        <v>7634</v>
      </c>
    </row>
    <row r="85" spans="1:29">
      <c r="A85" s="12">
        <v>5</v>
      </c>
      <c r="B85" s="12" t="s">
        <v>12</v>
      </c>
      <c r="C85" s="12">
        <v>5607</v>
      </c>
      <c r="D85" s="12" t="s">
        <v>96</v>
      </c>
      <c r="E85" s="17">
        <v>0.26041251494619372</v>
      </c>
      <c r="F85" s="17">
        <v>0.73953766440813073</v>
      </c>
      <c r="G85" s="13">
        <v>0.78927293460736891</v>
      </c>
      <c r="H85" s="13">
        <v>0.35210508588750422</v>
      </c>
      <c r="I85" s="14">
        <v>9.9071309074509273</v>
      </c>
      <c r="J85" s="16">
        <v>1.2495000000000001</v>
      </c>
      <c r="K85" s="16">
        <v>1.2083999999999999</v>
      </c>
      <c r="L85" s="13">
        <v>0.5413</v>
      </c>
      <c r="M85" s="13">
        <v>3.4099999999999998E-2</v>
      </c>
      <c r="N85" s="13">
        <v>0.1124</v>
      </c>
      <c r="O85" s="13">
        <v>8.9700000000000002E-2</v>
      </c>
      <c r="P85" s="16">
        <v>0.65849999999999997</v>
      </c>
      <c r="Q85" s="16">
        <v>0.64980000000000004</v>
      </c>
      <c r="R85" s="16">
        <v>0.90510000000000002</v>
      </c>
      <c r="S85" s="16">
        <f t="shared" si="2"/>
        <v>0.73780000000000001</v>
      </c>
      <c r="T85" s="18">
        <v>1</v>
      </c>
      <c r="U85" s="1">
        <v>13.513513509999999</v>
      </c>
      <c r="V85" s="1">
        <f t="shared" si="3"/>
        <v>2.6750801816225547</v>
      </c>
      <c r="W85" s="25"/>
      <c r="X85">
        <v>0.4098</v>
      </c>
      <c r="Y85" s="1">
        <v>1.6189</v>
      </c>
      <c r="Z85" s="1">
        <v>0.9627</v>
      </c>
      <c r="AA85" s="1">
        <v>26766</v>
      </c>
      <c r="AB85" s="1">
        <v>148</v>
      </c>
      <c r="AC85" s="29">
        <v>4036</v>
      </c>
    </row>
    <row r="86" spans="1:29">
      <c r="A86" s="12">
        <v>5</v>
      </c>
      <c r="B86" s="12" t="s">
        <v>12</v>
      </c>
      <c r="C86" s="12">
        <v>5615</v>
      </c>
      <c r="D86" s="12" t="s">
        <v>97</v>
      </c>
      <c r="E86" s="17">
        <v>0.21601302677249332</v>
      </c>
      <c r="F86" s="17">
        <v>0.78398221198025031</v>
      </c>
      <c r="G86" s="13">
        <v>1</v>
      </c>
      <c r="H86" s="13">
        <v>0.27553139803230903</v>
      </c>
      <c r="I86" s="14">
        <v>12.255005656639353</v>
      </c>
      <c r="J86" s="16">
        <v>1.0686</v>
      </c>
      <c r="K86" s="16">
        <v>1.0636000000000001</v>
      </c>
      <c r="L86" s="13">
        <v>0.52969999999999995</v>
      </c>
      <c r="M86" s="13">
        <v>4.1000000000000002E-2</v>
      </c>
      <c r="N86" s="13">
        <v>0.123</v>
      </c>
      <c r="O86" s="13">
        <v>0.1298</v>
      </c>
      <c r="P86" s="16">
        <v>0.99709999999999999</v>
      </c>
      <c r="Q86" s="16">
        <v>0.7034999999999999</v>
      </c>
      <c r="R86" s="16">
        <v>1</v>
      </c>
      <c r="S86" s="16">
        <f t="shared" si="2"/>
        <v>0.90019999999999989</v>
      </c>
      <c r="T86" s="18">
        <v>1</v>
      </c>
      <c r="U86" s="1">
        <v>9.5940959410000008</v>
      </c>
      <c r="V86" s="1">
        <f t="shared" si="3"/>
        <v>2.3602968592451945</v>
      </c>
      <c r="W86" s="26"/>
      <c r="X86" s="28">
        <v>10145</v>
      </c>
      <c r="Y86" s="1">
        <v>9.1905000000000001</v>
      </c>
      <c r="Z86" s="1">
        <v>2.3214999999999999</v>
      </c>
      <c r="AA86" s="1">
        <v>151872</v>
      </c>
      <c r="AB86" s="1">
        <v>1355</v>
      </c>
      <c r="AC86" s="29">
        <v>23176</v>
      </c>
    </row>
    <row r="87" spans="1:29">
      <c r="A87" s="12">
        <v>5</v>
      </c>
      <c r="B87" s="12" t="s">
        <v>12</v>
      </c>
      <c r="C87" s="12">
        <v>5628</v>
      </c>
      <c r="D87" s="12" t="s">
        <v>98</v>
      </c>
      <c r="E87" s="17">
        <v>0.92776998597475457</v>
      </c>
      <c r="F87" s="17">
        <v>7.223001402524544E-2</v>
      </c>
      <c r="G87" s="13">
        <v>0.88498138187836162</v>
      </c>
      <c r="H87" s="13">
        <v>12.823909531502423</v>
      </c>
      <c r="I87" s="14">
        <v>9.0545049404180542</v>
      </c>
      <c r="J87" s="16">
        <v>0.74390000000000001</v>
      </c>
      <c r="K87" s="16">
        <v>0.74390000000000001</v>
      </c>
      <c r="L87" s="13">
        <v>0.36770000000000003</v>
      </c>
      <c r="M87" s="13">
        <v>6.4000000000000003E-3</v>
      </c>
      <c r="N87" s="13">
        <v>5.4699999999999999E-2</v>
      </c>
      <c r="O87" s="13">
        <v>0</v>
      </c>
      <c r="P87" s="16">
        <v>0.57179999999999997</v>
      </c>
      <c r="Q87" s="16">
        <v>0.26030000000000003</v>
      </c>
      <c r="R87" s="16">
        <v>0.28179999999999999</v>
      </c>
      <c r="S87" s="16">
        <f t="shared" si="2"/>
        <v>0.37130000000000002</v>
      </c>
      <c r="T87" s="18">
        <v>1</v>
      </c>
      <c r="U87" s="1">
        <v>14.70588235</v>
      </c>
      <c r="V87" s="1">
        <f t="shared" si="3"/>
        <v>2.7540353141567677</v>
      </c>
      <c r="W87" s="25"/>
      <c r="X87">
        <v>7.9799999999999996E-2</v>
      </c>
      <c r="Y87" s="1">
        <v>6.5299999999999997E-2</v>
      </c>
      <c r="Z87" s="1">
        <v>6.3299999999999995E-2</v>
      </c>
      <c r="AA87" s="1">
        <v>9827</v>
      </c>
      <c r="AB87" s="1">
        <v>68</v>
      </c>
      <c r="AC87" s="29">
        <v>2177</v>
      </c>
    </row>
    <row r="88" spans="1:29">
      <c r="A88" s="12">
        <v>5</v>
      </c>
      <c r="B88" s="12" t="s">
        <v>12</v>
      </c>
      <c r="C88" s="12">
        <v>5631</v>
      </c>
      <c r="D88" s="12" t="s">
        <v>99</v>
      </c>
      <c r="E88" s="17">
        <v>0.17338121064240125</v>
      </c>
      <c r="F88" s="17">
        <v>0.82661878935759869</v>
      </c>
      <c r="G88" s="13">
        <v>1</v>
      </c>
      <c r="H88" s="13">
        <v>0.20974477958236659</v>
      </c>
      <c r="I88" s="14">
        <v>11.449474352389611</v>
      </c>
      <c r="J88" s="16">
        <v>1.0803</v>
      </c>
      <c r="K88" s="16">
        <v>1.0775999999999999</v>
      </c>
      <c r="L88" s="13">
        <v>0.77370000000000005</v>
      </c>
      <c r="M88" s="13">
        <v>3.5299999999999998E-2</v>
      </c>
      <c r="N88" s="13">
        <v>8.5699999999999998E-2</v>
      </c>
      <c r="O88" s="13">
        <v>0.10050000000000001</v>
      </c>
      <c r="P88" s="16">
        <v>1</v>
      </c>
      <c r="Q88" s="16">
        <v>0.99950000000000006</v>
      </c>
      <c r="R88" s="16">
        <v>0.93889999999999996</v>
      </c>
      <c r="S88" s="16">
        <f t="shared" si="2"/>
        <v>0.97946666666666671</v>
      </c>
      <c r="T88" s="18">
        <v>1</v>
      </c>
      <c r="U88" s="1">
        <v>7.0323488049999998</v>
      </c>
      <c r="V88" s="1">
        <f t="shared" si="3"/>
        <v>2.083476988923783</v>
      </c>
      <c r="W88" s="26"/>
      <c r="X88">
        <v>0.79459999999999997</v>
      </c>
      <c r="Y88" s="1">
        <v>20.569400000000002</v>
      </c>
      <c r="Z88" s="1">
        <v>3.0712999999999999</v>
      </c>
      <c r="AA88" s="1">
        <v>103765</v>
      </c>
      <c r="AB88" s="1">
        <v>711</v>
      </c>
      <c r="AC88" s="29">
        <v>11216</v>
      </c>
    </row>
    <row r="89" spans="1:29">
      <c r="A89" s="12">
        <v>5</v>
      </c>
      <c r="B89" s="12" t="s">
        <v>12</v>
      </c>
      <c r="C89" s="12">
        <v>5642</v>
      </c>
      <c r="D89" s="12" t="s">
        <v>100</v>
      </c>
      <c r="E89" s="17">
        <v>0.85671246083393593</v>
      </c>
      <c r="F89" s="17">
        <v>0.1432875391660641</v>
      </c>
      <c r="G89" s="13">
        <v>0.85927306616961785</v>
      </c>
      <c r="H89" s="13">
        <v>5.9764606977721728</v>
      </c>
      <c r="I89" s="14">
        <v>9.7169772351207193</v>
      </c>
      <c r="J89" s="16">
        <v>0.66080000000000005</v>
      </c>
      <c r="K89" s="16">
        <v>0.66080000000000005</v>
      </c>
      <c r="L89" s="13">
        <v>0.26219999999999999</v>
      </c>
      <c r="M89" s="13">
        <v>4.2099999999999999E-2</v>
      </c>
      <c r="N89" s="13">
        <v>0.1318</v>
      </c>
      <c r="O89" s="13">
        <v>7.7100000000000002E-2</v>
      </c>
      <c r="P89" s="16">
        <v>0.56320000000000003</v>
      </c>
      <c r="Q89" s="16">
        <v>0.19190000000000002</v>
      </c>
      <c r="R89" s="16">
        <v>0.2288</v>
      </c>
      <c r="S89" s="16">
        <f t="shared" si="2"/>
        <v>0.32796666666666668</v>
      </c>
      <c r="T89" s="18">
        <v>1</v>
      </c>
      <c r="U89" s="1">
        <v>23.622047240000001</v>
      </c>
      <c r="V89" s="1">
        <f t="shared" si="3"/>
        <v>3.2036422708329564</v>
      </c>
      <c r="W89" s="25"/>
      <c r="X89">
        <v>7.5700000000000003E-2</v>
      </c>
      <c r="Y89" s="1">
        <v>0.14410000000000001</v>
      </c>
      <c r="Z89" s="1">
        <v>0.1346</v>
      </c>
      <c r="AA89" s="1">
        <v>18915</v>
      </c>
      <c r="AB89" s="1">
        <v>127</v>
      </c>
      <c r="AC89" s="29">
        <v>3653</v>
      </c>
    </row>
    <row r="90" spans="1:29">
      <c r="A90" s="12">
        <v>5</v>
      </c>
      <c r="B90" s="12" t="s">
        <v>12</v>
      </c>
      <c r="C90" s="12">
        <v>5647</v>
      </c>
      <c r="D90" s="12" t="s">
        <v>101</v>
      </c>
      <c r="E90" s="17">
        <v>0.79571611253196928</v>
      </c>
      <c r="F90" s="17">
        <v>0.20428388746803069</v>
      </c>
      <c r="G90" s="13">
        <v>0.81788469080925608</v>
      </c>
      <c r="H90" s="13">
        <v>3.892103205629398</v>
      </c>
      <c r="I90" s="14">
        <v>8.7414561159983641</v>
      </c>
      <c r="J90" s="16">
        <v>0.70079999999999998</v>
      </c>
      <c r="K90" s="16">
        <v>0.70079999999999998</v>
      </c>
      <c r="L90" s="13">
        <v>0.35410000000000003</v>
      </c>
      <c r="M90" s="13">
        <v>3.9E-2</v>
      </c>
      <c r="N90" s="13">
        <v>8.8599999999999998E-2</v>
      </c>
      <c r="O90" s="13">
        <v>3.15E-2</v>
      </c>
      <c r="P90" s="16">
        <v>0.40049999999999997</v>
      </c>
      <c r="Q90" s="16">
        <v>0.38040000000000002</v>
      </c>
      <c r="R90" s="16">
        <v>0.40509999999999996</v>
      </c>
      <c r="S90" s="16">
        <f t="shared" si="2"/>
        <v>0.39533333333333331</v>
      </c>
      <c r="T90" s="18">
        <v>0.88486140724946694</v>
      </c>
      <c r="U90" s="1">
        <v>23.25581395</v>
      </c>
      <c r="V90" s="1">
        <f t="shared" si="3"/>
        <v>3.1886563391633942</v>
      </c>
      <c r="W90" s="26"/>
      <c r="X90">
        <v>9.4899999999999998E-2</v>
      </c>
      <c r="Y90" s="1">
        <v>0.1087</v>
      </c>
      <c r="Z90" s="1">
        <v>0.1032</v>
      </c>
      <c r="AA90" s="1">
        <v>7406</v>
      </c>
      <c r="AB90" s="1">
        <v>43</v>
      </c>
      <c r="AC90" s="29">
        <v>1693</v>
      </c>
    </row>
    <row r="91" spans="1:29">
      <c r="A91" s="12">
        <v>5</v>
      </c>
      <c r="B91" s="12" t="s">
        <v>12</v>
      </c>
      <c r="C91" s="12">
        <v>5649</v>
      </c>
      <c r="D91" s="12" t="s">
        <v>102</v>
      </c>
      <c r="E91" s="17">
        <v>0.83124601995330083</v>
      </c>
      <c r="F91" s="17">
        <v>0.16875398004669923</v>
      </c>
      <c r="G91" s="13">
        <v>0.83213612812058413</v>
      </c>
      <c r="H91" s="13">
        <v>4.9237217099748536</v>
      </c>
      <c r="I91" s="14">
        <v>9.5563385212507992</v>
      </c>
      <c r="J91" s="16">
        <v>0.85709999999999997</v>
      </c>
      <c r="K91" s="16">
        <v>0.85709999999999997</v>
      </c>
      <c r="L91" s="13">
        <v>0.51290000000000002</v>
      </c>
      <c r="M91" s="13">
        <v>2.92E-2</v>
      </c>
      <c r="N91" s="13">
        <v>8.6699999999999999E-2</v>
      </c>
      <c r="O91" s="13">
        <v>8.14E-2</v>
      </c>
      <c r="P91" s="16">
        <v>0.36200000000000004</v>
      </c>
      <c r="Q91" s="16">
        <v>0.36200000000000004</v>
      </c>
      <c r="R91" s="16">
        <v>0.37119999999999997</v>
      </c>
      <c r="S91" s="16">
        <f t="shared" si="2"/>
        <v>0.36506666666666671</v>
      </c>
      <c r="T91" s="18">
        <v>0.89433885142039604</v>
      </c>
      <c r="U91" s="1">
        <v>9.7087378639999997</v>
      </c>
      <c r="V91" s="1">
        <f t="shared" si="3"/>
        <v>2.3710600310166137</v>
      </c>
      <c r="W91" s="25"/>
      <c r="X91">
        <v>0.22270000000000001</v>
      </c>
      <c r="Y91" s="1">
        <v>8.5400000000000004E-2</v>
      </c>
      <c r="Z91" s="1">
        <v>8.1900000000000001E-2</v>
      </c>
      <c r="AA91" s="1">
        <v>16912</v>
      </c>
      <c r="AB91" s="1">
        <v>103</v>
      </c>
      <c r="AC91" s="29">
        <v>3366</v>
      </c>
    </row>
    <row r="92" spans="1:29">
      <c r="A92" s="12">
        <v>5</v>
      </c>
      <c r="B92" s="12" t="s">
        <v>12</v>
      </c>
      <c r="C92" s="12">
        <v>5652</v>
      </c>
      <c r="D92" s="12" t="s">
        <v>103</v>
      </c>
      <c r="E92" s="17">
        <v>0.91842452208305869</v>
      </c>
      <c r="F92" s="17">
        <v>8.1575477916941336E-2</v>
      </c>
      <c r="G92" s="13">
        <v>1</v>
      </c>
      <c r="H92" s="13">
        <v>11.235887096774194</v>
      </c>
      <c r="I92" s="14">
        <v>8.7109491258358549</v>
      </c>
      <c r="J92" s="16">
        <v>0.78649999999999998</v>
      </c>
      <c r="K92" s="16">
        <v>0.78649999999999998</v>
      </c>
      <c r="L92" s="13">
        <v>0.45500000000000002</v>
      </c>
      <c r="M92" s="13">
        <v>7.46E-2</v>
      </c>
      <c r="N92" s="13">
        <v>0.1376</v>
      </c>
      <c r="O92" s="13">
        <v>7.85E-2</v>
      </c>
      <c r="P92" s="16">
        <v>0.2858</v>
      </c>
      <c r="Q92" s="16">
        <v>0.2858</v>
      </c>
      <c r="R92" s="16">
        <v>0.2858</v>
      </c>
      <c r="S92" s="16">
        <f t="shared" si="2"/>
        <v>0.2858</v>
      </c>
      <c r="T92" s="18">
        <v>0.83464566929133799</v>
      </c>
      <c r="U92" s="1">
        <v>37.73584906</v>
      </c>
      <c r="V92" s="1">
        <f t="shared" si="3"/>
        <v>3.6567655035544884</v>
      </c>
      <c r="W92" s="26"/>
      <c r="X92">
        <v>3.2399999999999998E-2</v>
      </c>
      <c r="Y92" s="1">
        <v>4.7899999999999998E-2</v>
      </c>
      <c r="Z92" s="1">
        <v>4.6800000000000001E-2</v>
      </c>
      <c r="AA92" s="1">
        <v>6013</v>
      </c>
      <c r="AB92" s="1">
        <v>53</v>
      </c>
      <c r="AC92" s="29">
        <v>1335</v>
      </c>
    </row>
    <row r="93" spans="1:29">
      <c r="A93" s="12">
        <v>5</v>
      </c>
      <c r="B93" s="12" t="s">
        <v>12</v>
      </c>
      <c r="C93" s="12">
        <v>5656</v>
      </c>
      <c r="D93" s="12" t="s">
        <v>104</v>
      </c>
      <c r="E93" s="17">
        <v>0.6533381977380518</v>
      </c>
      <c r="F93" s="17">
        <v>0.3466618022619482</v>
      </c>
      <c r="G93" s="13">
        <v>0.83065640341838898</v>
      </c>
      <c r="H93" s="13">
        <v>1.8842592592592593</v>
      </c>
      <c r="I93" s="14">
        <v>9.5255889721457692</v>
      </c>
      <c r="J93" s="16">
        <v>0.85070000000000001</v>
      </c>
      <c r="K93" s="16">
        <v>0.85070000000000001</v>
      </c>
      <c r="L93" s="13">
        <v>0.44019999999999998</v>
      </c>
      <c r="M93" s="13">
        <v>7.4099999999999999E-2</v>
      </c>
      <c r="N93" s="13">
        <v>9.2399999999999996E-2</v>
      </c>
      <c r="O93" s="13">
        <v>7.6100000000000001E-2</v>
      </c>
      <c r="P93" s="16">
        <v>0.50450000000000006</v>
      </c>
      <c r="Q93" s="16">
        <v>0.49930000000000002</v>
      </c>
      <c r="R93" s="16">
        <v>0.58009999999999995</v>
      </c>
      <c r="S93" s="16">
        <f t="shared" si="2"/>
        <v>0.52796666666666658</v>
      </c>
      <c r="T93" s="18">
        <v>1</v>
      </c>
      <c r="U93" s="1">
        <v>0</v>
      </c>
      <c r="V93" s="1">
        <f t="shared" si="3"/>
        <v>0</v>
      </c>
      <c r="W93" s="25"/>
      <c r="X93">
        <v>0.1605</v>
      </c>
      <c r="Y93" s="1">
        <v>0.98070000000000002</v>
      </c>
      <c r="Z93" s="1">
        <v>0.68340000000000001</v>
      </c>
      <c r="AA93" s="1">
        <v>17982</v>
      </c>
      <c r="AB93" s="1">
        <v>110</v>
      </c>
      <c r="AC93" s="29">
        <v>3167</v>
      </c>
    </row>
    <row r="94" spans="1:29" ht="25.5">
      <c r="A94" s="12">
        <v>5</v>
      </c>
      <c r="B94" s="12" t="s">
        <v>12</v>
      </c>
      <c r="C94" s="12">
        <v>5658</v>
      </c>
      <c r="D94" s="12" t="s">
        <v>105</v>
      </c>
      <c r="E94" s="17">
        <v>0.68374384236453201</v>
      </c>
      <c r="F94" s="17">
        <v>0.31625615763546799</v>
      </c>
      <c r="G94" s="13">
        <v>0.7767857142857143</v>
      </c>
      <c r="H94" s="13">
        <v>2.1597510373443982</v>
      </c>
      <c r="I94" s="14">
        <v>8.0215845334551066</v>
      </c>
      <c r="J94" s="16">
        <v>0.5716</v>
      </c>
      <c r="K94" s="16">
        <v>0.5716</v>
      </c>
      <c r="L94" s="13">
        <v>0.43359999999999999</v>
      </c>
      <c r="M94" s="13">
        <v>9.9000000000000008E-3</v>
      </c>
      <c r="N94" s="13">
        <v>4.36E-2</v>
      </c>
      <c r="O94" s="13">
        <v>1.3899999999999999E-2</v>
      </c>
      <c r="P94" s="16">
        <v>0.72819999999999996</v>
      </c>
      <c r="Q94" s="16">
        <v>0.67180000000000006</v>
      </c>
      <c r="R94" s="16">
        <v>0.91769999999999996</v>
      </c>
      <c r="S94" s="16">
        <f t="shared" si="2"/>
        <v>0.77256666666666662</v>
      </c>
      <c r="T94" s="18">
        <v>1</v>
      </c>
      <c r="U94" s="1">
        <v>0</v>
      </c>
      <c r="V94" s="1">
        <f t="shared" si="3"/>
        <v>0</v>
      </c>
      <c r="W94" s="26"/>
      <c r="X94">
        <v>6.6900000000000001E-2</v>
      </c>
      <c r="Y94" s="1">
        <v>0.18820000000000001</v>
      </c>
      <c r="Z94" s="1">
        <v>0.17249999999999999</v>
      </c>
      <c r="AA94" s="1">
        <v>3963</v>
      </c>
      <c r="AB94" s="1">
        <v>33</v>
      </c>
      <c r="AC94" s="29">
        <v>904</v>
      </c>
    </row>
    <row r="95" spans="1:29">
      <c r="A95" s="12">
        <v>5</v>
      </c>
      <c r="B95" s="12" t="s">
        <v>12</v>
      </c>
      <c r="C95" s="12">
        <v>5659</v>
      </c>
      <c r="D95" s="12" t="s">
        <v>106</v>
      </c>
      <c r="E95" s="17">
        <v>0.92530687871535555</v>
      </c>
      <c r="F95" s="17">
        <v>7.469312128464449E-2</v>
      </c>
      <c r="G95" s="13">
        <v>1</v>
      </c>
      <c r="H95" s="13">
        <v>12.381714876033058</v>
      </c>
      <c r="I95" s="14">
        <v>10.162268481441469</v>
      </c>
      <c r="J95" s="16">
        <v>0.93689999999999996</v>
      </c>
      <c r="K95" s="16">
        <v>0.93689999999999996</v>
      </c>
      <c r="L95" s="13">
        <v>0.36359999999999998</v>
      </c>
      <c r="M95" s="13">
        <v>2.0299999999999999E-2</v>
      </c>
      <c r="N95" s="13">
        <v>0.1384</v>
      </c>
      <c r="O95" s="13">
        <v>1.01E-2</v>
      </c>
      <c r="P95" s="16">
        <v>0</v>
      </c>
      <c r="Q95" s="16">
        <v>0</v>
      </c>
      <c r="R95" s="16">
        <v>0</v>
      </c>
      <c r="S95" s="16">
        <f t="shared" si="2"/>
        <v>0</v>
      </c>
      <c r="T95" s="18">
        <v>1</v>
      </c>
      <c r="U95" s="1">
        <v>10.928961749999999</v>
      </c>
      <c r="V95" s="1">
        <f t="shared" si="3"/>
        <v>2.478969203823044</v>
      </c>
      <c r="W95" s="25"/>
      <c r="X95">
        <v>5.4800000000000001E-2</v>
      </c>
      <c r="Y95" s="1">
        <v>0.2601</v>
      </c>
      <c r="Z95" s="1">
        <v>0.23119999999999999</v>
      </c>
      <c r="AA95" s="1">
        <v>20025</v>
      </c>
      <c r="AB95" s="1">
        <v>366</v>
      </c>
      <c r="AC95" s="29">
        <v>5538</v>
      </c>
    </row>
    <row r="96" spans="1:29">
      <c r="A96" s="12">
        <v>5</v>
      </c>
      <c r="B96" s="12" t="s">
        <v>12</v>
      </c>
      <c r="C96" s="12">
        <v>5660</v>
      </c>
      <c r="D96" s="12" t="s">
        <v>107</v>
      </c>
      <c r="E96" s="17">
        <v>0.77531709281256289</v>
      </c>
      <c r="F96" s="17">
        <v>0.22468290718743708</v>
      </c>
      <c r="G96" s="13">
        <v>1</v>
      </c>
      <c r="H96" s="13">
        <v>3.4496864735742014</v>
      </c>
      <c r="I96" s="14">
        <v>9.6092507111136722</v>
      </c>
      <c r="J96" s="16">
        <v>0.92049999999999998</v>
      </c>
      <c r="K96" s="16">
        <v>0.92049999999999998</v>
      </c>
      <c r="L96" s="13">
        <v>0.53439999999999999</v>
      </c>
      <c r="M96" s="13">
        <v>3.3700000000000001E-2</v>
      </c>
      <c r="N96" s="13">
        <v>5.8900000000000001E-2</v>
      </c>
      <c r="O96" s="13">
        <v>4.36E-2</v>
      </c>
      <c r="P96" s="16">
        <v>0.27940000000000004</v>
      </c>
      <c r="Q96" s="16">
        <v>0.27940000000000004</v>
      </c>
      <c r="R96" s="16">
        <v>0.27940000000000004</v>
      </c>
      <c r="S96" s="16">
        <f t="shared" si="2"/>
        <v>0.27940000000000004</v>
      </c>
      <c r="T96" s="18">
        <v>1</v>
      </c>
      <c r="U96" s="1">
        <v>0</v>
      </c>
      <c r="V96" s="1">
        <f t="shared" si="3"/>
        <v>0</v>
      </c>
      <c r="W96" s="26"/>
      <c r="X96">
        <v>5.6099999999999997E-2</v>
      </c>
      <c r="Y96" s="1">
        <v>3.4099999999999998E-2</v>
      </c>
      <c r="Z96" s="1">
        <v>3.3500000000000002E-2</v>
      </c>
      <c r="AA96" s="1">
        <v>14242</v>
      </c>
      <c r="AB96" s="1">
        <v>114</v>
      </c>
      <c r="AC96" s="29">
        <v>3043</v>
      </c>
    </row>
    <row r="97" spans="1:29">
      <c r="A97" s="12">
        <v>5</v>
      </c>
      <c r="B97" s="12" t="s">
        <v>12</v>
      </c>
      <c r="C97" s="12">
        <v>5664</v>
      </c>
      <c r="D97" s="12" t="s">
        <v>108</v>
      </c>
      <c r="E97" s="17">
        <v>0.44829879197606115</v>
      </c>
      <c r="F97" s="17">
        <v>0.55170120802393885</v>
      </c>
      <c r="G97" s="13">
        <v>1</v>
      </c>
      <c r="H97" s="13">
        <v>0.81252092400401743</v>
      </c>
      <c r="I97" s="14">
        <v>10.206181382608348</v>
      </c>
      <c r="J97" s="16">
        <v>1.1216999999999999</v>
      </c>
      <c r="K97" s="16">
        <v>1.1216999999999999</v>
      </c>
      <c r="L97" s="13">
        <v>0.79690000000000005</v>
      </c>
      <c r="M97" s="13">
        <v>3.39E-2</v>
      </c>
      <c r="N97" s="13">
        <v>6.3299999999999995E-2</v>
      </c>
      <c r="O97" s="13">
        <v>6.5000000000000002E-2</v>
      </c>
      <c r="P97" s="16">
        <v>0.5373</v>
      </c>
      <c r="Q97" s="16">
        <v>0.33250000000000002</v>
      </c>
      <c r="R97" s="16">
        <v>0.52280000000000004</v>
      </c>
      <c r="S97" s="16">
        <f t="shared" si="2"/>
        <v>0.4642</v>
      </c>
      <c r="T97" s="18">
        <v>1</v>
      </c>
      <c r="U97" s="1">
        <v>21.459227469999998</v>
      </c>
      <c r="V97" s="1">
        <f t="shared" si="3"/>
        <v>3.1117015529039658</v>
      </c>
      <c r="W97" s="25"/>
      <c r="X97">
        <v>0.46879999999999999</v>
      </c>
      <c r="Y97" s="1">
        <v>0.56330000000000002</v>
      </c>
      <c r="Z97" s="1">
        <v>0.44679999999999997</v>
      </c>
      <c r="AA97" s="1">
        <v>22297</v>
      </c>
      <c r="AB97" s="1">
        <v>233</v>
      </c>
      <c r="AC97" s="29">
        <v>4247</v>
      </c>
    </row>
    <row r="98" spans="1:29" ht="25.5">
      <c r="A98" s="12">
        <v>5</v>
      </c>
      <c r="B98" s="12" t="s">
        <v>12</v>
      </c>
      <c r="C98" s="12">
        <v>5665</v>
      </c>
      <c r="D98" s="12" t="s">
        <v>109</v>
      </c>
      <c r="E98" s="17">
        <v>0.92655167730544619</v>
      </c>
      <c r="F98" s="17">
        <v>7.3448322694553855E-2</v>
      </c>
      <c r="G98" s="13">
        <v>1</v>
      </c>
      <c r="H98" s="13">
        <v>12.610351201478743</v>
      </c>
      <c r="I98" s="14">
        <v>10.513687812275148</v>
      </c>
      <c r="J98" s="16">
        <v>0.88500000000000001</v>
      </c>
      <c r="K98" s="16">
        <v>0.88500000000000001</v>
      </c>
      <c r="L98" s="13">
        <v>0.6018</v>
      </c>
      <c r="M98" s="13">
        <v>3.1899999999999998E-2</v>
      </c>
      <c r="N98" s="13">
        <v>7.9000000000000001E-2</v>
      </c>
      <c r="O98" s="13">
        <v>5.9799999999999999E-2</v>
      </c>
      <c r="P98" s="16">
        <v>0.40700000000000003</v>
      </c>
      <c r="Q98" s="16">
        <v>0.40689999999999998</v>
      </c>
      <c r="R98" s="16">
        <v>0.40689999999999998</v>
      </c>
      <c r="S98" s="16">
        <f t="shared" si="2"/>
        <v>0.40693333333333337</v>
      </c>
      <c r="T98" s="18">
        <v>1</v>
      </c>
      <c r="U98" s="1">
        <v>17.76649746</v>
      </c>
      <c r="V98" s="1">
        <f t="shared" si="3"/>
        <v>2.9320732300958574</v>
      </c>
      <c r="W98" s="26"/>
      <c r="X98">
        <v>4.19E-2</v>
      </c>
      <c r="Y98" s="1">
        <v>0.13469999999999999</v>
      </c>
      <c r="Z98" s="1">
        <v>0.12640000000000001</v>
      </c>
      <c r="AA98" s="1">
        <v>32352</v>
      </c>
      <c r="AB98" s="1">
        <v>394</v>
      </c>
      <c r="AC98" s="29">
        <v>8197</v>
      </c>
    </row>
    <row r="99" spans="1:29">
      <c r="A99" s="12">
        <v>5</v>
      </c>
      <c r="B99" s="12" t="s">
        <v>12</v>
      </c>
      <c r="C99" s="12">
        <v>5667</v>
      </c>
      <c r="D99" s="12" t="s">
        <v>110</v>
      </c>
      <c r="E99" s="17">
        <v>0.77341040462427746</v>
      </c>
      <c r="F99" s="17">
        <v>0.22652159129547772</v>
      </c>
      <c r="G99" s="13">
        <v>0.88493711259553465</v>
      </c>
      <c r="H99" s="13">
        <v>3.4132653061224492</v>
      </c>
      <c r="I99" s="14">
        <v>9.5960108527561676</v>
      </c>
      <c r="J99" s="16">
        <v>0.77300000000000002</v>
      </c>
      <c r="K99" s="16">
        <v>0.77300000000000002</v>
      </c>
      <c r="L99" s="13">
        <v>0.48309999999999997</v>
      </c>
      <c r="M99" s="13">
        <v>2.9499999999999998E-2</v>
      </c>
      <c r="N99" s="13">
        <v>6.8199999999999997E-2</v>
      </c>
      <c r="O99" s="13">
        <v>3.9600000000000003E-2</v>
      </c>
      <c r="P99" s="16">
        <v>0.39090000000000003</v>
      </c>
      <c r="Q99" s="16">
        <v>0.39090000000000003</v>
      </c>
      <c r="R99" s="16">
        <v>0.39090000000000003</v>
      </c>
      <c r="S99" s="16">
        <f t="shared" si="2"/>
        <v>0.39090000000000003</v>
      </c>
      <c r="T99" s="18">
        <v>1</v>
      </c>
      <c r="U99" s="1">
        <v>0</v>
      </c>
      <c r="V99" s="1">
        <f t="shared" si="3"/>
        <v>0</v>
      </c>
      <c r="W99" s="25"/>
      <c r="X99">
        <v>0.10680000000000001</v>
      </c>
      <c r="Y99" s="1">
        <v>0.19600000000000001</v>
      </c>
      <c r="Z99" s="1">
        <v>0.1789</v>
      </c>
      <c r="AA99" s="1">
        <v>17222</v>
      </c>
      <c r="AB99" s="1">
        <v>114</v>
      </c>
      <c r="AC99" s="29">
        <v>3175</v>
      </c>
    </row>
    <row r="100" spans="1:29">
      <c r="A100" s="12">
        <v>5</v>
      </c>
      <c r="B100" s="12" t="s">
        <v>12</v>
      </c>
      <c r="C100" s="12">
        <v>5670</v>
      </c>
      <c r="D100" s="12" t="s">
        <v>111</v>
      </c>
      <c r="E100" s="17">
        <v>0.81752160793740092</v>
      </c>
      <c r="F100" s="17">
        <v>0.18247839206259908</v>
      </c>
      <c r="G100" s="13">
        <v>0.85138900984063393</v>
      </c>
      <c r="H100" s="13">
        <v>4.4788456150182121</v>
      </c>
      <c r="I100" s="14">
        <v>9.8809351480656158</v>
      </c>
      <c r="J100" s="16">
        <v>0.80010000000000003</v>
      </c>
      <c r="K100" s="16">
        <v>0.80010000000000003</v>
      </c>
      <c r="L100" s="13">
        <v>0.50429999999999997</v>
      </c>
      <c r="M100" s="13">
        <v>3.3099999999999997E-2</v>
      </c>
      <c r="N100" s="13">
        <v>5.79E-2</v>
      </c>
      <c r="O100" s="13">
        <v>2.6599999999999999E-2</v>
      </c>
      <c r="P100" s="16">
        <v>0.41490000000000005</v>
      </c>
      <c r="Q100" s="16">
        <v>0.41389999999999999</v>
      </c>
      <c r="R100" s="16">
        <v>0.41409999999999997</v>
      </c>
      <c r="S100" s="16">
        <f t="shared" si="2"/>
        <v>0.41429999999999995</v>
      </c>
      <c r="T100" s="18">
        <v>1</v>
      </c>
      <c r="U100" s="1">
        <v>0</v>
      </c>
      <c r="V100" s="1">
        <f t="shared" si="3"/>
        <v>0</v>
      </c>
      <c r="W100" s="26"/>
      <c r="X100">
        <v>5.8299999999999998E-2</v>
      </c>
      <c r="Y100" s="1">
        <v>8.7400000000000005E-2</v>
      </c>
      <c r="Z100" s="1">
        <v>8.3799999999999999E-2</v>
      </c>
      <c r="AA100" s="1">
        <v>24238</v>
      </c>
      <c r="AB100" s="1">
        <v>172</v>
      </c>
      <c r="AC100" s="29">
        <v>4914</v>
      </c>
    </row>
    <row r="101" spans="1:29">
      <c r="A101" s="12">
        <v>5</v>
      </c>
      <c r="B101" s="12" t="s">
        <v>12</v>
      </c>
      <c r="C101" s="12">
        <v>5674</v>
      </c>
      <c r="D101" s="12" t="s">
        <v>112</v>
      </c>
      <c r="E101" s="17">
        <v>0.82751744765702895</v>
      </c>
      <c r="F101" s="17">
        <v>0.17248255234297108</v>
      </c>
      <c r="G101" s="13">
        <v>0.68155950055211079</v>
      </c>
      <c r="H101" s="13">
        <v>4.7959552184904295</v>
      </c>
      <c r="I101" s="14">
        <v>9.6834018213211568</v>
      </c>
      <c r="J101" s="16">
        <v>0.78659999999999997</v>
      </c>
      <c r="K101" s="16">
        <v>0.78659999999999997</v>
      </c>
      <c r="L101" s="13">
        <v>0.4511</v>
      </c>
      <c r="M101" s="13">
        <v>2.8400000000000002E-2</v>
      </c>
      <c r="N101" s="13">
        <v>7.3099999999999998E-2</v>
      </c>
      <c r="O101" s="13">
        <v>6.4199999999999993E-2</v>
      </c>
      <c r="P101" s="16">
        <v>0.24780000000000002</v>
      </c>
      <c r="Q101" s="16">
        <v>0.17430000000000001</v>
      </c>
      <c r="R101" s="16">
        <v>0.17430000000000001</v>
      </c>
      <c r="S101" s="16">
        <f t="shared" si="2"/>
        <v>0.1988</v>
      </c>
      <c r="T101" s="18">
        <v>0.88718497384688499</v>
      </c>
      <c r="U101" s="1">
        <v>0</v>
      </c>
      <c r="V101" s="1">
        <f t="shared" si="3"/>
        <v>0</v>
      </c>
      <c r="W101" s="25"/>
      <c r="X101">
        <v>3.32E-2</v>
      </c>
      <c r="Y101" s="1">
        <v>0.5242</v>
      </c>
      <c r="Z101" s="1">
        <v>0.4214</v>
      </c>
      <c r="AA101" s="1">
        <v>24534</v>
      </c>
      <c r="AB101" s="1">
        <v>140</v>
      </c>
      <c r="AC101" s="29">
        <v>4417</v>
      </c>
    </row>
    <row r="102" spans="1:29">
      <c r="A102" s="12">
        <v>5</v>
      </c>
      <c r="B102" s="12" t="s">
        <v>12</v>
      </c>
      <c r="C102" s="12">
        <v>5679</v>
      </c>
      <c r="D102" s="12" t="s">
        <v>113</v>
      </c>
      <c r="E102" s="17">
        <v>0.74563975155279505</v>
      </c>
      <c r="F102" s="17">
        <v>0.25431055900621119</v>
      </c>
      <c r="G102" s="13">
        <v>0.72230995621276295</v>
      </c>
      <c r="H102" s="13">
        <v>2.9314319202969328</v>
      </c>
      <c r="I102" s="14">
        <v>9.9097677904932784</v>
      </c>
      <c r="J102" s="16">
        <v>0.65380000000000005</v>
      </c>
      <c r="K102" s="16">
        <v>0.65380000000000005</v>
      </c>
      <c r="L102" s="13">
        <v>0.44159999999999999</v>
      </c>
      <c r="M102" s="13">
        <v>3.09E-2</v>
      </c>
      <c r="N102" s="13">
        <v>7.1900000000000006E-2</v>
      </c>
      <c r="O102" s="13">
        <v>5.9499999999999997E-2</v>
      </c>
      <c r="P102" s="16">
        <v>0.50680000000000003</v>
      </c>
      <c r="Q102" s="16">
        <v>0.22399999999999998</v>
      </c>
      <c r="R102" s="16">
        <v>0.43959999999999999</v>
      </c>
      <c r="S102" s="16">
        <f t="shared" si="2"/>
        <v>0.39013333333333328</v>
      </c>
      <c r="T102" s="18">
        <v>0.78223790619026601</v>
      </c>
      <c r="U102" s="1">
        <v>19.23076923</v>
      </c>
      <c r="V102" s="1">
        <f t="shared" si="3"/>
        <v>3.0072046746782051</v>
      </c>
      <c r="W102" s="26"/>
      <c r="X102">
        <v>3.8199999999999998E-2</v>
      </c>
      <c r="Y102" s="1">
        <v>0.37369999999999998</v>
      </c>
      <c r="Z102" s="1">
        <v>0.3175</v>
      </c>
      <c r="AA102" s="1">
        <v>29171</v>
      </c>
      <c r="AB102" s="1">
        <v>104</v>
      </c>
      <c r="AC102" s="29">
        <v>4774</v>
      </c>
    </row>
    <row r="103" spans="1:29" ht="25.5">
      <c r="A103" s="12">
        <v>5</v>
      </c>
      <c r="B103" s="12" t="s">
        <v>12</v>
      </c>
      <c r="C103" s="12">
        <v>5686</v>
      </c>
      <c r="D103" s="12" t="s">
        <v>114</v>
      </c>
      <c r="E103" s="17">
        <v>0.48631928992346629</v>
      </c>
      <c r="F103" s="17">
        <v>0.51365625840526197</v>
      </c>
      <c r="G103" s="13">
        <v>1</v>
      </c>
      <c r="H103" s="13">
        <v>0.94673457730388422</v>
      </c>
      <c r="I103" s="14">
        <v>10.618836441079759</v>
      </c>
      <c r="J103" s="16">
        <v>0.89300000000000002</v>
      </c>
      <c r="K103" s="16">
        <v>0.89300000000000002</v>
      </c>
      <c r="L103" s="13">
        <v>0.61870000000000003</v>
      </c>
      <c r="M103" s="13">
        <v>2.92E-2</v>
      </c>
      <c r="N103" s="13">
        <v>8.4199999999999997E-2</v>
      </c>
      <c r="O103" s="13">
        <v>8.2000000000000003E-2</v>
      </c>
      <c r="P103" s="16">
        <v>0.42920000000000003</v>
      </c>
      <c r="Q103" s="16">
        <v>0.35090000000000005</v>
      </c>
      <c r="R103" s="16">
        <v>0.43700000000000006</v>
      </c>
      <c r="S103" s="16">
        <f t="shared" si="2"/>
        <v>0.40570000000000001</v>
      </c>
      <c r="T103" s="18">
        <v>1</v>
      </c>
      <c r="U103" s="1">
        <v>9.8684210530000005</v>
      </c>
      <c r="V103" s="1">
        <f t="shared" si="3"/>
        <v>2.3858614332685453</v>
      </c>
      <c r="W103" s="25"/>
      <c r="X103">
        <v>0.1925</v>
      </c>
      <c r="Y103" s="1">
        <v>0.20399999999999999</v>
      </c>
      <c r="Z103" s="1">
        <v>0.18559999999999999</v>
      </c>
      <c r="AA103" s="1">
        <v>39788</v>
      </c>
      <c r="AB103" s="1">
        <v>304</v>
      </c>
      <c r="AC103" s="29">
        <v>8010</v>
      </c>
    </row>
    <row r="104" spans="1:29">
      <c r="A104" s="12">
        <v>5</v>
      </c>
      <c r="B104" s="12" t="s">
        <v>12</v>
      </c>
      <c r="C104" s="12">
        <v>5690</v>
      </c>
      <c r="D104" s="12" t="s">
        <v>115</v>
      </c>
      <c r="E104" s="17">
        <v>0.80877993158494865</v>
      </c>
      <c r="F104" s="17">
        <v>0.19122006841505132</v>
      </c>
      <c r="G104" s="13">
        <v>0.67074569789674954</v>
      </c>
      <c r="H104" s="13">
        <v>4.2270560190703215</v>
      </c>
      <c r="I104" s="14">
        <v>9.0792061039513818</v>
      </c>
      <c r="J104" s="16">
        <v>0.96050000000000002</v>
      </c>
      <c r="K104" s="16">
        <v>0.96050000000000002</v>
      </c>
      <c r="L104" s="13">
        <v>0.65400000000000003</v>
      </c>
      <c r="M104" s="13">
        <v>2.52E-2</v>
      </c>
      <c r="N104" s="13">
        <v>7.9000000000000001E-2</v>
      </c>
      <c r="O104" s="13">
        <v>7.2900000000000006E-2</v>
      </c>
      <c r="P104" s="16">
        <v>0.58329999999999993</v>
      </c>
      <c r="Q104" s="16">
        <v>0.28210000000000002</v>
      </c>
      <c r="R104" s="16">
        <v>0.28039999999999998</v>
      </c>
      <c r="S104" s="16">
        <f t="shared" si="2"/>
        <v>0.38193333333333329</v>
      </c>
      <c r="T104" s="18">
        <v>1</v>
      </c>
      <c r="U104" s="1">
        <v>0</v>
      </c>
      <c r="V104" s="1">
        <f t="shared" si="3"/>
        <v>0</v>
      </c>
      <c r="W104" s="26"/>
      <c r="X104">
        <v>0.23280000000000001</v>
      </c>
      <c r="Y104" s="1">
        <v>0.30280000000000001</v>
      </c>
      <c r="Z104" s="1">
        <v>0.26450000000000001</v>
      </c>
      <c r="AA104" s="1">
        <v>13434</v>
      </c>
      <c r="AB104" s="1">
        <v>66</v>
      </c>
      <c r="AC104" s="29">
        <v>2430</v>
      </c>
    </row>
    <row r="105" spans="1:29">
      <c r="A105" s="12">
        <v>5</v>
      </c>
      <c r="B105" s="12" t="s">
        <v>12</v>
      </c>
      <c r="C105" s="12">
        <v>5697</v>
      </c>
      <c r="D105" s="12" t="s">
        <v>116</v>
      </c>
      <c r="E105" s="17">
        <v>0.54074895827696301</v>
      </c>
      <c r="F105" s="17">
        <v>0.45925104172303693</v>
      </c>
      <c r="G105" s="13">
        <v>0.96961905761360057</v>
      </c>
      <c r="H105" s="13">
        <v>1.1773889478025215</v>
      </c>
      <c r="I105" s="14">
        <v>10.517564469112537</v>
      </c>
      <c r="J105" s="16">
        <v>0.95179999999999998</v>
      </c>
      <c r="K105" s="16">
        <v>0.9506</v>
      </c>
      <c r="L105" s="13">
        <v>0.63849999999999996</v>
      </c>
      <c r="M105" s="13">
        <v>3.5499999999999997E-2</v>
      </c>
      <c r="N105" s="13">
        <v>7.2700000000000001E-2</v>
      </c>
      <c r="O105" s="13">
        <v>6.8400000000000002E-2</v>
      </c>
      <c r="P105" s="16">
        <v>0.87919999999999998</v>
      </c>
      <c r="Q105" s="16">
        <v>0.53720000000000001</v>
      </c>
      <c r="R105" s="16">
        <v>0.53839999999999999</v>
      </c>
      <c r="S105" s="16">
        <f t="shared" si="2"/>
        <v>0.65159999999999996</v>
      </c>
      <c r="T105" s="18">
        <v>1</v>
      </c>
      <c r="U105" s="1">
        <v>6.8493150680000001</v>
      </c>
      <c r="V105" s="1">
        <f t="shared" si="3"/>
        <v>2.0604262755035214</v>
      </c>
      <c r="W105" s="25"/>
      <c r="X105">
        <v>0.13250000000000001</v>
      </c>
      <c r="Y105" s="1">
        <v>2.0661</v>
      </c>
      <c r="Z105" s="1">
        <v>1.1204000000000001</v>
      </c>
      <c r="AA105" s="1">
        <v>39396</v>
      </c>
      <c r="AB105" s="1">
        <v>438</v>
      </c>
      <c r="AC105" s="29">
        <v>7771</v>
      </c>
    </row>
    <row r="106" spans="1:29">
      <c r="A106" s="12">
        <v>5</v>
      </c>
      <c r="B106" s="12" t="s">
        <v>12</v>
      </c>
      <c r="C106" s="12">
        <v>5736</v>
      </c>
      <c r="D106" s="12" t="s">
        <v>117</v>
      </c>
      <c r="E106" s="17">
        <v>0.68974392531518558</v>
      </c>
      <c r="F106" s="17">
        <v>0.31023426253108233</v>
      </c>
      <c r="G106" s="13">
        <v>1</v>
      </c>
      <c r="H106" s="13">
        <v>2.2231439820022496</v>
      </c>
      <c r="I106" s="14">
        <v>10.733065044791472</v>
      </c>
      <c r="J106" s="16">
        <v>0.86670000000000003</v>
      </c>
      <c r="K106" s="16">
        <v>0.86639999999999995</v>
      </c>
      <c r="L106" s="13">
        <v>0.3624</v>
      </c>
      <c r="M106" s="13">
        <v>7.6600000000000001E-2</v>
      </c>
      <c r="N106" s="13">
        <v>9.8699999999999996E-2</v>
      </c>
      <c r="O106" s="13">
        <v>6.5500000000000003E-2</v>
      </c>
      <c r="P106" s="16">
        <v>0.69950000000000001</v>
      </c>
      <c r="Q106" s="16">
        <v>0.23219999999999999</v>
      </c>
      <c r="R106" s="16">
        <v>0.92059999999999997</v>
      </c>
      <c r="S106" s="16">
        <f t="shared" si="2"/>
        <v>0.61743333333333339</v>
      </c>
      <c r="T106" s="18">
        <v>0.73096129837702806</v>
      </c>
      <c r="U106" s="1">
        <v>14.44043321</v>
      </c>
      <c r="V106" s="1">
        <f t="shared" si="3"/>
        <v>2.7369896018455089</v>
      </c>
      <c r="W106" s="26"/>
      <c r="X106">
        <v>0.31569999999999998</v>
      </c>
      <c r="Y106" s="1">
        <v>0.18790000000000001</v>
      </c>
      <c r="Z106" s="1">
        <v>0.17219999999999999</v>
      </c>
      <c r="AA106" s="1">
        <v>39116</v>
      </c>
      <c r="AB106" s="1">
        <v>554</v>
      </c>
      <c r="AC106" s="29">
        <v>8699</v>
      </c>
    </row>
    <row r="107" spans="1:29">
      <c r="A107" s="12">
        <v>5</v>
      </c>
      <c r="B107" s="12" t="s">
        <v>12</v>
      </c>
      <c r="C107" s="12">
        <v>5756</v>
      </c>
      <c r="D107" s="12" t="s">
        <v>118</v>
      </c>
      <c r="E107" s="17">
        <v>0.78863932763367628</v>
      </c>
      <c r="F107" s="17">
        <v>0.21136067236632372</v>
      </c>
      <c r="G107" s="13">
        <v>0.89576843198338529</v>
      </c>
      <c r="H107" s="13">
        <v>3.7307375925418151</v>
      </c>
      <c r="I107" s="14">
        <v>10.448888500941809</v>
      </c>
      <c r="J107" s="16">
        <v>0.77129999999999999</v>
      </c>
      <c r="K107" s="16">
        <v>0.77129999999999999</v>
      </c>
      <c r="L107" s="13">
        <v>0.41739999999999999</v>
      </c>
      <c r="M107" s="13">
        <v>3.27E-2</v>
      </c>
      <c r="N107" s="13">
        <v>6.4600000000000005E-2</v>
      </c>
      <c r="O107" s="13">
        <v>3.9300000000000002E-2</v>
      </c>
      <c r="P107" s="16">
        <v>0.47859999999999997</v>
      </c>
      <c r="Q107" s="16">
        <v>0.47859999999999997</v>
      </c>
      <c r="R107" s="16">
        <v>0.47859999999999997</v>
      </c>
      <c r="S107" s="16">
        <f t="shared" si="2"/>
        <v>0.47859999999999997</v>
      </c>
      <c r="T107" s="18">
        <v>0.82782008567348797</v>
      </c>
      <c r="U107" s="1">
        <v>10.03344482</v>
      </c>
      <c r="V107" s="1">
        <f t="shared" si="3"/>
        <v>2.4009310981955791</v>
      </c>
      <c r="W107" s="25"/>
      <c r="X107">
        <v>0.49009999999999998</v>
      </c>
      <c r="Y107" s="1">
        <v>0.10829999999999999</v>
      </c>
      <c r="Z107" s="1">
        <v>0.1028</v>
      </c>
      <c r="AA107" s="1">
        <v>36144</v>
      </c>
      <c r="AB107" s="1">
        <v>299</v>
      </c>
      <c r="AC107" s="29">
        <v>7113</v>
      </c>
    </row>
    <row r="108" spans="1:29">
      <c r="A108" s="12">
        <v>5</v>
      </c>
      <c r="B108" s="12" t="s">
        <v>12</v>
      </c>
      <c r="C108" s="12">
        <v>5761</v>
      </c>
      <c r="D108" s="12" t="s">
        <v>119</v>
      </c>
      <c r="E108" s="17">
        <v>0.78894281814045197</v>
      </c>
      <c r="F108" s="17">
        <v>0.211057181859548</v>
      </c>
      <c r="G108" s="13">
        <v>0.81956616321710485</v>
      </c>
      <c r="H108" s="13">
        <v>3.7367097701149423</v>
      </c>
      <c r="I108" s="14">
        <v>9.4869867748076988</v>
      </c>
      <c r="J108" s="16">
        <v>0.9506</v>
      </c>
      <c r="K108" s="16">
        <v>0.9506</v>
      </c>
      <c r="L108" s="13">
        <v>0.45669999999999999</v>
      </c>
      <c r="M108" s="13">
        <v>3.44E-2</v>
      </c>
      <c r="N108" s="13">
        <v>8.5400000000000004E-2</v>
      </c>
      <c r="O108" s="13">
        <v>7.3800000000000004E-2</v>
      </c>
      <c r="P108" s="16">
        <v>0.51840000000000008</v>
      </c>
      <c r="Q108" s="16">
        <v>0.24260000000000001</v>
      </c>
      <c r="R108" s="16">
        <v>0.45429999999999998</v>
      </c>
      <c r="S108" s="16">
        <f t="shared" si="2"/>
        <v>0.40510000000000002</v>
      </c>
      <c r="T108" s="18">
        <v>1</v>
      </c>
      <c r="U108" s="1">
        <v>8.7719298250000008</v>
      </c>
      <c r="V108" s="1">
        <f t="shared" si="3"/>
        <v>2.2795139721376172</v>
      </c>
      <c r="W108" s="26"/>
      <c r="X108">
        <v>0.109</v>
      </c>
      <c r="Y108" s="1">
        <v>0.91210000000000002</v>
      </c>
      <c r="Z108" s="1">
        <v>0.6482</v>
      </c>
      <c r="AA108" s="1">
        <v>16366</v>
      </c>
      <c r="AB108" s="1">
        <v>114</v>
      </c>
      <c r="AC108" s="29">
        <v>2861</v>
      </c>
    </row>
    <row r="109" spans="1:29">
      <c r="A109" s="12">
        <v>5</v>
      </c>
      <c r="B109" s="12" t="s">
        <v>12</v>
      </c>
      <c r="C109" s="12">
        <v>5789</v>
      </c>
      <c r="D109" s="12" t="s">
        <v>120</v>
      </c>
      <c r="E109" s="17">
        <v>0.71736542785345858</v>
      </c>
      <c r="F109" s="17">
        <v>0.28263457214654147</v>
      </c>
      <c r="G109" s="13">
        <v>0.88041453190498364</v>
      </c>
      <c r="H109" s="13">
        <v>2.5375438596491229</v>
      </c>
      <c r="I109" s="14">
        <v>9.62397204275074</v>
      </c>
      <c r="J109" s="16">
        <v>0.75570000000000004</v>
      </c>
      <c r="K109" s="16">
        <v>0.75570000000000004</v>
      </c>
      <c r="L109" s="13">
        <v>0.45689999999999997</v>
      </c>
      <c r="M109" s="13">
        <v>1.41E-2</v>
      </c>
      <c r="N109" s="13">
        <v>6.2E-2</v>
      </c>
      <c r="O109" s="13">
        <v>3.1899999999999998E-2</v>
      </c>
      <c r="P109" s="16">
        <v>0.33939999999999998</v>
      </c>
      <c r="Q109" s="16">
        <v>0.33939999999999998</v>
      </c>
      <c r="R109" s="16">
        <v>0.39039999999999997</v>
      </c>
      <c r="S109" s="16">
        <f t="shared" si="2"/>
        <v>0.35639999999999999</v>
      </c>
      <c r="T109" s="18">
        <v>0.97367194780987798</v>
      </c>
      <c r="U109" s="1">
        <v>0</v>
      </c>
      <c r="V109" s="1">
        <f t="shared" si="3"/>
        <v>0</v>
      </c>
      <c r="W109" s="25"/>
      <c r="X109">
        <v>7.6700000000000004E-2</v>
      </c>
      <c r="Y109" s="1">
        <v>0.14810000000000001</v>
      </c>
      <c r="Z109" s="1">
        <v>0.1381</v>
      </c>
      <c r="AA109" s="1">
        <v>16676</v>
      </c>
      <c r="AB109" s="1">
        <v>95</v>
      </c>
      <c r="AC109" s="29">
        <v>2767</v>
      </c>
    </row>
    <row r="110" spans="1:29">
      <c r="A110" s="12">
        <v>5</v>
      </c>
      <c r="B110" s="12" t="s">
        <v>12</v>
      </c>
      <c r="C110" s="12">
        <v>5790</v>
      </c>
      <c r="D110" s="12" t="s">
        <v>121</v>
      </c>
      <c r="E110" s="17">
        <v>0.93480974173520659</v>
      </c>
      <c r="F110" s="17">
        <v>6.5190258264793424E-2</v>
      </c>
      <c r="G110" s="13">
        <v>1</v>
      </c>
      <c r="H110" s="13">
        <v>14.332679097154072</v>
      </c>
      <c r="I110" s="14">
        <v>10.34971065311646</v>
      </c>
      <c r="J110" s="16">
        <v>0.73640000000000005</v>
      </c>
      <c r="K110" s="16">
        <v>0.73640000000000005</v>
      </c>
      <c r="L110" s="13">
        <v>0.32040000000000002</v>
      </c>
      <c r="M110" s="13">
        <v>6.5699999999999995E-2</v>
      </c>
      <c r="N110" s="13">
        <v>0.123</v>
      </c>
      <c r="O110" s="13">
        <v>6.1100000000000002E-2</v>
      </c>
      <c r="P110" s="16">
        <v>0.80120000000000002</v>
      </c>
      <c r="Q110" s="16">
        <v>0.80110000000000003</v>
      </c>
      <c r="R110" s="16">
        <v>0.80120000000000002</v>
      </c>
      <c r="S110" s="16">
        <f t="shared" si="2"/>
        <v>0.80116666666666669</v>
      </c>
      <c r="T110" s="18">
        <v>0.74166958961767804</v>
      </c>
      <c r="U110" s="1">
        <v>6.3291139239999996</v>
      </c>
      <c r="V110" s="1">
        <f t="shared" si="3"/>
        <v>1.9918546250990652</v>
      </c>
      <c r="W110" s="26"/>
      <c r="X110">
        <v>4.0599999999999997E-2</v>
      </c>
      <c r="Y110" s="1">
        <v>4.6800000000000001E-2</v>
      </c>
      <c r="Z110" s="1">
        <v>4.5699999999999998E-2</v>
      </c>
      <c r="AA110" s="1">
        <v>29027</v>
      </c>
      <c r="AB110" s="1">
        <v>316</v>
      </c>
      <c r="AC110" s="29">
        <v>7778</v>
      </c>
    </row>
    <row r="111" spans="1:29">
      <c r="A111" s="12">
        <v>5</v>
      </c>
      <c r="B111" s="12" t="s">
        <v>12</v>
      </c>
      <c r="C111" s="12">
        <v>5792</v>
      </c>
      <c r="D111" s="12" t="s">
        <v>122</v>
      </c>
      <c r="E111" s="17">
        <v>0.68131666053696216</v>
      </c>
      <c r="F111" s="17">
        <v>0.3186833394630379</v>
      </c>
      <c r="G111" s="13">
        <v>0.82959572845156371</v>
      </c>
      <c r="H111" s="13">
        <v>2.1366782006920415</v>
      </c>
      <c r="I111" s="14">
        <v>8.6013504994229599</v>
      </c>
      <c r="J111" s="16">
        <v>0.62590000000000001</v>
      </c>
      <c r="K111" s="16">
        <v>0.62590000000000001</v>
      </c>
      <c r="L111" s="13">
        <v>0.29799999999999999</v>
      </c>
      <c r="M111" s="13">
        <v>1.6199999999999999E-2</v>
      </c>
      <c r="N111" s="13">
        <v>0.1361</v>
      </c>
      <c r="O111" s="13">
        <v>5.5300000000000002E-2</v>
      </c>
      <c r="P111" s="16">
        <v>0.4294</v>
      </c>
      <c r="Q111" s="16">
        <v>0.41320000000000001</v>
      </c>
      <c r="R111" s="16">
        <v>0.44209999999999999</v>
      </c>
      <c r="S111" s="16">
        <f t="shared" si="2"/>
        <v>0.4282333333333333</v>
      </c>
      <c r="T111" s="18">
        <v>0.85029546946815404</v>
      </c>
      <c r="U111" s="1">
        <v>45.454545449999998</v>
      </c>
      <c r="V111" s="1">
        <f t="shared" si="3"/>
        <v>3.8384743173074867</v>
      </c>
      <c r="W111" s="25"/>
      <c r="X111">
        <v>0.2298</v>
      </c>
      <c r="Y111" s="1">
        <v>0.19489999999999999</v>
      </c>
      <c r="Z111" s="1">
        <v>0.17799999999999999</v>
      </c>
      <c r="AA111" s="1">
        <v>6530</v>
      </c>
      <c r="AB111" s="1">
        <v>22</v>
      </c>
      <c r="AC111" s="29">
        <v>1202</v>
      </c>
    </row>
    <row r="112" spans="1:29">
      <c r="A112" s="12">
        <v>5</v>
      </c>
      <c r="B112" s="12" t="s">
        <v>12</v>
      </c>
      <c r="C112" s="12">
        <v>5809</v>
      </c>
      <c r="D112" s="12" t="s">
        <v>123</v>
      </c>
      <c r="E112" s="17">
        <v>0.56381468576590532</v>
      </c>
      <c r="F112" s="17">
        <v>0.43618531423409473</v>
      </c>
      <c r="G112" s="13">
        <v>0.68189017951425557</v>
      </c>
      <c r="H112" s="13">
        <v>1.2922212363206151</v>
      </c>
      <c r="I112" s="14">
        <v>8.9554481223473932</v>
      </c>
      <c r="J112" s="16">
        <v>0.65790000000000004</v>
      </c>
      <c r="K112" s="16">
        <v>0.65790000000000004</v>
      </c>
      <c r="L112" s="13">
        <v>0.31530000000000002</v>
      </c>
      <c r="M112" s="13">
        <v>2.69E-2</v>
      </c>
      <c r="N112" s="13">
        <v>9.11E-2</v>
      </c>
      <c r="O112" s="13">
        <v>4.9399999999999999E-2</v>
      </c>
      <c r="P112" s="16">
        <v>0.55020000000000002</v>
      </c>
      <c r="Q112" s="16">
        <v>0.29260000000000003</v>
      </c>
      <c r="R112" s="16">
        <v>0.34130000000000005</v>
      </c>
      <c r="S112" s="16">
        <f t="shared" si="2"/>
        <v>0.3947</v>
      </c>
      <c r="T112" s="18">
        <v>0.84219001610305899</v>
      </c>
      <c r="U112" s="1">
        <v>28.571428569999998</v>
      </c>
      <c r="V112" s="1">
        <f t="shared" si="3"/>
        <v>3.3868086441617464</v>
      </c>
      <c r="W112" s="26"/>
      <c r="X112">
        <v>0.1678</v>
      </c>
      <c r="Y112" s="1">
        <v>0.34060000000000001</v>
      </c>
      <c r="Z112" s="1">
        <v>0.29310000000000003</v>
      </c>
      <c r="AA112" s="1">
        <v>11449</v>
      </c>
      <c r="AB112" s="1">
        <v>35</v>
      </c>
      <c r="AC112" s="29">
        <v>1806</v>
      </c>
    </row>
    <row r="113" spans="1:29">
      <c r="A113" s="12">
        <v>5</v>
      </c>
      <c r="B113" s="12" t="s">
        <v>12</v>
      </c>
      <c r="C113" s="12">
        <v>5819</v>
      </c>
      <c r="D113" s="12" t="s">
        <v>124</v>
      </c>
      <c r="E113" s="17">
        <v>0.85979860573199074</v>
      </c>
      <c r="F113" s="17">
        <v>0.14020139426800929</v>
      </c>
      <c r="G113" s="13">
        <v>0.98063045955184203</v>
      </c>
      <c r="H113" s="13">
        <v>6.1241379310344826</v>
      </c>
      <c r="I113" s="14">
        <v>8.5496603815537391</v>
      </c>
      <c r="J113" s="16">
        <v>0.87329999999999997</v>
      </c>
      <c r="K113" s="16">
        <v>0.87329999999999997</v>
      </c>
      <c r="L113" s="13">
        <v>0.43790000000000001</v>
      </c>
      <c r="M113" s="13">
        <v>3.2500000000000001E-2</v>
      </c>
      <c r="N113" s="13">
        <v>9.8599999999999993E-2</v>
      </c>
      <c r="O113" s="13">
        <v>5.1999999999999998E-3</v>
      </c>
      <c r="P113" s="16">
        <v>0.58899999999999997</v>
      </c>
      <c r="Q113" s="16">
        <v>0.33140000000000003</v>
      </c>
      <c r="R113" s="16">
        <v>0.32439999999999997</v>
      </c>
      <c r="S113" s="16">
        <f t="shared" si="2"/>
        <v>0.41493333333333332</v>
      </c>
      <c r="T113" s="18">
        <v>1</v>
      </c>
      <c r="U113" s="1">
        <v>0</v>
      </c>
      <c r="V113" s="1">
        <f t="shared" si="3"/>
        <v>0</v>
      </c>
      <c r="W113" s="25"/>
      <c r="X113">
        <v>0.26300000000000001</v>
      </c>
      <c r="Y113" s="1">
        <v>0.1416</v>
      </c>
      <c r="Z113" s="1">
        <v>0.13250000000000001</v>
      </c>
      <c r="AA113" s="1">
        <v>4867</v>
      </c>
      <c r="AB113" s="1">
        <v>47</v>
      </c>
      <c r="AC113" s="29">
        <v>1115</v>
      </c>
    </row>
    <row r="114" spans="1:29">
      <c r="A114" s="12">
        <v>5</v>
      </c>
      <c r="B114" s="12" t="s">
        <v>12</v>
      </c>
      <c r="C114" s="12">
        <v>5837</v>
      </c>
      <c r="D114" s="12" t="s">
        <v>125</v>
      </c>
      <c r="E114" s="17">
        <v>0.73690060846713823</v>
      </c>
      <c r="F114" s="17">
        <v>0.26309296632548818</v>
      </c>
      <c r="G114" s="13">
        <v>1</v>
      </c>
      <c r="H114" s="13">
        <v>2.80084497411351</v>
      </c>
      <c r="I114" s="14">
        <v>11.955288076848873</v>
      </c>
      <c r="J114" s="16">
        <v>0.9929</v>
      </c>
      <c r="K114" s="16">
        <v>0.99270000000000003</v>
      </c>
      <c r="L114" s="13">
        <v>0.63539999999999996</v>
      </c>
      <c r="M114" s="13">
        <v>4.4699999999999997E-2</v>
      </c>
      <c r="N114" s="13">
        <v>8.3599999999999994E-2</v>
      </c>
      <c r="O114" s="13">
        <v>5.4600000000000003E-2</v>
      </c>
      <c r="P114" s="16">
        <v>0.97199999999999998</v>
      </c>
      <c r="Q114" s="16">
        <v>0.97199999999999998</v>
      </c>
      <c r="R114" s="16">
        <v>0.97199999999999998</v>
      </c>
      <c r="S114" s="16">
        <f t="shared" si="2"/>
        <v>0.97199999999999998</v>
      </c>
      <c r="T114" s="18">
        <v>1</v>
      </c>
      <c r="U114" s="1">
        <v>9.2794759829999993</v>
      </c>
      <c r="V114" s="1">
        <f t="shared" si="3"/>
        <v>2.3301492843114366</v>
      </c>
      <c r="W114" s="26"/>
      <c r="X114">
        <v>0.121</v>
      </c>
      <c r="Y114" s="1">
        <v>0.1923</v>
      </c>
      <c r="Z114" s="1">
        <v>0.1759</v>
      </c>
      <c r="AA114" s="1">
        <v>130019</v>
      </c>
      <c r="AB114" s="1">
        <v>1832</v>
      </c>
      <c r="AC114" s="29">
        <v>34263</v>
      </c>
    </row>
    <row r="115" spans="1:29">
      <c r="A115" s="12">
        <v>5</v>
      </c>
      <c r="B115" s="12" t="s">
        <v>12</v>
      </c>
      <c r="C115" s="12">
        <v>5842</v>
      </c>
      <c r="D115" s="12" t="s">
        <v>126</v>
      </c>
      <c r="E115" s="17">
        <v>0.90754039497307004</v>
      </c>
      <c r="F115" s="17">
        <v>9.2459605026929986E-2</v>
      </c>
      <c r="G115" s="13">
        <v>0.91851037515459666</v>
      </c>
      <c r="H115" s="13">
        <v>9.7996768982229394</v>
      </c>
      <c r="I115" s="14">
        <v>8.807621489536043</v>
      </c>
      <c r="J115" s="16">
        <v>0.72719999999999996</v>
      </c>
      <c r="K115" s="16">
        <v>0.72719999999999996</v>
      </c>
      <c r="L115" s="13">
        <v>0.35930000000000001</v>
      </c>
      <c r="M115" s="13">
        <v>6.7299999999999999E-2</v>
      </c>
      <c r="N115" s="13">
        <v>0.1075</v>
      </c>
      <c r="O115" s="13">
        <v>8.7400000000000005E-2</v>
      </c>
      <c r="P115" s="16">
        <v>0.32719999999999999</v>
      </c>
      <c r="Q115" s="16">
        <v>0.32719999999999999</v>
      </c>
      <c r="R115" s="16">
        <v>0.32719999999999999</v>
      </c>
      <c r="S115" s="16">
        <f t="shared" si="2"/>
        <v>0.32719999999999999</v>
      </c>
      <c r="T115" s="18">
        <v>1</v>
      </c>
      <c r="U115" s="1">
        <v>40</v>
      </c>
      <c r="V115" s="1">
        <f t="shared" si="3"/>
        <v>3.713572066704308</v>
      </c>
      <c r="W115" s="25"/>
      <c r="X115">
        <v>0.1263</v>
      </c>
      <c r="Y115" s="1">
        <v>3.09E-2</v>
      </c>
      <c r="Z115" s="1">
        <v>3.04E-2</v>
      </c>
      <c r="AA115" s="1">
        <v>7406</v>
      </c>
      <c r="AB115" s="1">
        <v>50</v>
      </c>
      <c r="AC115" s="29">
        <v>1666</v>
      </c>
    </row>
    <row r="116" spans="1:29">
      <c r="A116" s="12">
        <v>5</v>
      </c>
      <c r="B116" s="12" t="s">
        <v>12</v>
      </c>
      <c r="C116" s="12">
        <v>5847</v>
      </c>
      <c r="D116" s="12" t="s">
        <v>127</v>
      </c>
      <c r="E116" s="17">
        <v>0.84532770059203288</v>
      </c>
      <c r="F116" s="17">
        <v>0.15467229940796715</v>
      </c>
      <c r="G116" s="13">
        <v>1</v>
      </c>
      <c r="H116" s="13">
        <v>5.4642307692307694</v>
      </c>
      <c r="I116" s="14">
        <v>10.422697925836513</v>
      </c>
      <c r="J116" s="16">
        <v>0.8306</v>
      </c>
      <c r="K116" s="16">
        <v>0.8306</v>
      </c>
      <c r="L116" s="13">
        <v>0.38009999999999999</v>
      </c>
      <c r="M116" s="13">
        <v>3.7600000000000001E-2</v>
      </c>
      <c r="N116" s="13">
        <v>9.9400000000000002E-2</v>
      </c>
      <c r="O116" s="13">
        <v>5.9499999999999997E-2</v>
      </c>
      <c r="P116" s="16">
        <v>0.44530000000000003</v>
      </c>
      <c r="Q116" s="16">
        <v>0.44530000000000003</v>
      </c>
      <c r="R116" s="16">
        <v>0.45799999999999996</v>
      </c>
      <c r="S116" s="16">
        <f t="shared" si="2"/>
        <v>0.44953333333333334</v>
      </c>
      <c r="T116" s="18">
        <v>1</v>
      </c>
      <c r="U116" s="1">
        <v>18.404907980000001</v>
      </c>
      <c r="V116" s="1">
        <f t="shared" si="3"/>
        <v>2.9655260227328415</v>
      </c>
      <c r="W116" s="26"/>
      <c r="X116">
        <v>7.6700000000000004E-2</v>
      </c>
      <c r="Y116" s="1">
        <v>2.93E-2</v>
      </c>
      <c r="Z116" s="1">
        <v>2.8899999999999999E-2</v>
      </c>
      <c r="AA116" s="1">
        <v>31776</v>
      </c>
      <c r="AB116" s="1">
        <v>326</v>
      </c>
      <c r="AC116" s="29">
        <v>7058</v>
      </c>
    </row>
    <row r="117" spans="1:29">
      <c r="A117" s="12">
        <v>5</v>
      </c>
      <c r="B117" s="12" t="s">
        <v>12</v>
      </c>
      <c r="C117" s="12">
        <v>5854</v>
      </c>
      <c r="D117" s="12" t="s">
        <v>128</v>
      </c>
      <c r="E117" s="17">
        <v>0.92873548551741736</v>
      </c>
      <c r="F117" s="17">
        <v>7.1200714559142522E-2</v>
      </c>
      <c r="G117" s="13">
        <v>1</v>
      </c>
      <c r="H117" s="13">
        <v>13.032229185317815</v>
      </c>
      <c r="I117" s="14">
        <v>9.6598223655011211</v>
      </c>
      <c r="J117" s="16">
        <v>0.71220000000000006</v>
      </c>
      <c r="K117" s="16">
        <v>0.71220000000000006</v>
      </c>
      <c r="L117" s="13">
        <v>0.29659999999999997</v>
      </c>
      <c r="M117" s="13">
        <v>3.5900000000000001E-2</v>
      </c>
      <c r="N117" s="13">
        <v>0.10489999999999999</v>
      </c>
      <c r="O117" s="13">
        <v>2.7099999999999999E-2</v>
      </c>
      <c r="P117" s="16">
        <v>0.58520000000000005</v>
      </c>
      <c r="Q117" s="16">
        <v>0.37090000000000001</v>
      </c>
      <c r="R117" s="16">
        <v>0.98939999999999995</v>
      </c>
      <c r="S117" s="16">
        <f t="shared" si="2"/>
        <v>0.64849999999999997</v>
      </c>
      <c r="T117" s="18">
        <v>1</v>
      </c>
      <c r="U117" s="1">
        <v>0</v>
      </c>
      <c r="V117" s="1">
        <f t="shared" si="3"/>
        <v>0</v>
      </c>
      <c r="W117" s="25"/>
      <c r="X117">
        <v>3.7999999999999999E-2</v>
      </c>
      <c r="Y117" s="1">
        <v>3.5799999999999998E-2</v>
      </c>
      <c r="Z117" s="1">
        <v>3.5099999999999999E-2</v>
      </c>
      <c r="AA117" s="1">
        <v>14927</v>
      </c>
      <c r="AB117" s="1">
        <v>106</v>
      </c>
      <c r="AC117" s="29">
        <v>3736</v>
      </c>
    </row>
    <row r="118" spans="1:29">
      <c r="A118" s="12">
        <v>5</v>
      </c>
      <c r="B118" s="12" t="s">
        <v>12</v>
      </c>
      <c r="C118" s="12">
        <v>5856</v>
      </c>
      <c r="D118" s="12" t="s">
        <v>129</v>
      </c>
      <c r="E118" s="17">
        <v>0.7076331241141931</v>
      </c>
      <c r="F118" s="17">
        <v>0.29236687588580684</v>
      </c>
      <c r="G118" s="13">
        <v>0.71414112203585889</v>
      </c>
      <c r="H118" s="13">
        <v>2.4186851211072664</v>
      </c>
      <c r="I118" s="14">
        <v>8.5051206101819687</v>
      </c>
      <c r="J118" s="16">
        <v>0.63629999999999998</v>
      </c>
      <c r="K118" s="16">
        <v>0.63629999999999998</v>
      </c>
      <c r="L118" s="13">
        <v>0.33329999999999999</v>
      </c>
      <c r="M118" s="13">
        <v>1.7299999999999999E-2</v>
      </c>
      <c r="N118" s="13">
        <v>0.13830000000000001</v>
      </c>
      <c r="O118" s="13">
        <v>7.3499999999999996E-2</v>
      </c>
      <c r="P118" s="16">
        <v>0.49689999999999995</v>
      </c>
      <c r="Q118" s="16">
        <v>0.33529999999999999</v>
      </c>
      <c r="R118" s="16">
        <v>0.35249999999999998</v>
      </c>
      <c r="S118" s="16">
        <f t="shared" si="2"/>
        <v>0.39489999999999997</v>
      </c>
      <c r="T118" s="18">
        <v>0.74360655737704906</v>
      </c>
      <c r="U118" s="1">
        <v>0</v>
      </c>
      <c r="V118" s="1">
        <f t="shared" si="3"/>
        <v>0</v>
      </c>
      <c r="W118" s="26"/>
      <c r="X118">
        <v>0.1181</v>
      </c>
      <c r="Y118" s="1">
        <v>0.17430000000000001</v>
      </c>
      <c r="Z118" s="1">
        <v>0.16070000000000001</v>
      </c>
      <c r="AA118" s="1">
        <v>6683</v>
      </c>
      <c r="AB118" s="1">
        <v>29</v>
      </c>
      <c r="AC118" s="29">
        <v>1009</v>
      </c>
    </row>
    <row r="119" spans="1:29">
      <c r="A119" s="12">
        <v>5</v>
      </c>
      <c r="B119" s="12" t="s">
        <v>12</v>
      </c>
      <c r="C119" s="12">
        <v>5858</v>
      </c>
      <c r="D119" s="12" t="s">
        <v>130</v>
      </c>
      <c r="E119" s="17">
        <v>0.81923493094010569</v>
      </c>
      <c r="F119" s="17">
        <v>0.18076506905989434</v>
      </c>
      <c r="G119" s="13">
        <v>1</v>
      </c>
      <c r="H119" s="13">
        <v>4.5304470256951781</v>
      </c>
      <c r="I119" s="14">
        <v>9.6621800305942465</v>
      </c>
      <c r="J119" s="16">
        <v>0.99770000000000003</v>
      </c>
      <c r="K119" s="16">
        <v>0.99770000000000003</v>
      </c>
      <c r="L119" s="13">
        <v>0.5635</v>
      </c>
      <c r="M119" s="13">
        <v>4.4400000000000002E-2</v>
      </c>
      <c r="N119" s="13">
        <v>6.9000000000000006E-2</v>
      </c>
      <c r="O119" s="13">
        <v>6.4500000000000002E-2</v>
      </c>
      <c r="P119" s="16">
        <v>0.50619999999999998</v>
      </c>
      <c r="Q119" s="16">
        <v>0.50619999999999998</v>
      </c>
      <c r="R119" s="16">
        <v>0.50619999999999998</v>
      </c>
      <c r="S119" s="16">
        <f t="shared" si="2"/>
        <v>0.50619999999999998</v>
      </c>
      <c r="T119" s="18">
        <v>1</v>
      </c>
      <c r="U119" s="1">
        <v>7.092198582</v>
      </c>
      <c r="V119" s="1">
        <f t="shared" si="3"/>
        <v>2.0909004595382457</v>
      </c>
      <c r="W119" s="25"/>
      <c r="X119">
        <v>0.16089999999999999</v>
      </c>
      <c r="Y119" s="1">
        <v>0.1003</v>
      </c>
      <c r="Z119" s="1">
        <v>9.5600000000000004E-2</v>
      </c>
      <c r="AA119" s="1">
        <v>12126</v>
      </c>
      <c r="AB119" s="1">
        <v>141</v>
      </c>
      <c r="AC119" s="29">
        <v>2586</v>
      </c>
    </row>
    <row r="120" spans="1:29">
      <c r="A120" s="12">
        <v>5</v>
      </c>
      <c r="B120" s="12" t="s">
        <v>12</v>
      </c>
      <c r="C120" s="12">
        <v>5861</v>
      </c>
      <c r="D120" s="12" t="s">
        <v>131</v>
      </c>
      <c r="E120" s="17">
        <v>0.66941347552108577</v>
      </c>
      <c r="F120" s="17">
        <v>0.33058652447891418</v>
      </c>
      <c r="G120" s="13">
        <v>0.83712059730563215</v>
      </c>
      <c r="H120" s="13">
        <v>2.0243330401641746</v>
      </c>
      <c r="I120" s="14">
        <v>9.2414513670012362</v>
      </c>
      <c r="J120" s="16">
        <v>0.75280000000000002</v>
      </c>
      <c r="K120" s="16">
        <v>0.75280000000000002</v>
      </c>
      <c r="L120" s="13">
        <v>0.41610000000000003</v>
      </c>
      <c r="M120" s="13">
        <v>4.24E-2</v>
      </c>
      <c r="N120" s="13">
        <v>8.5999999999999993E-2</v>
      </c>
      <c r="O120" s="13">
        <v>7.7499999999999999E-2</v>
      </c>
      <c r="P120" s="16">
        <v>0.61219999999999997</v>
      </c>
      <c r="Q120" s="16">
        <v>0.36719999999999997</v>
      </c>
      <c r="R120" s="16">
        <v>0.54780000000000006</v>
      </c>
      <c r="S120" s="16">
        <f t="shared" si="2"/>
        <v>0.50906666666666667</v>
      </c>
      <c r="T120" s="18">
        <v>1</v>
      </c>
      <c r="U120" s="1">
        <v>33.89830508</v>
      </c>
      <c r="V120" s="1">
        <f t="shared" si="3"/>
        <v>3.5524382629860818</v>
      </c>
      <c r="W120" s="26"/>
      <c r="X120">
        <v>0.16209999999999999</v>
      </c>
      <c r="Y120" s="1">
        <v>0.42859999999999998</v>
      </c>
      <c r="Z120" s="1">
        <v>0.35670000000000002</v>
      </c>
      <c r="AA120" s="1">
        <v>12343</v>
      </c>
      <c r="AB120" s="1">
        <v>59</v>
      </c>
      <c r="AC120" s="29">
        <v>1918</v>
      </c>
    </row>
    <row r="121" spans="1:29">
      <c r="A121" s="12">
        <v>5</v>
      </c>
      <c r="B121" s="12" t="s">
        <v>12</v>
      </c>
      <c r="C121" s="12">
        <v>5873</v>
      </c>
      <c r="D121" s="12" t="s">
        <v>132</v>
      </c>
      <c r="E121" s="17">
        <v>0.95876165431508487</v>
      </c>
      <c r="F121" s="17">
        <v>4.1238345684915134E-2</v>
      </c>
      <c r="G121" s="13">
        <v>0.85787530762920428</v>
      </c>
      <c r="H121" s="13">
        <v>23.182080924855491</v>
      </c>
      <c r="I121" s="14">
        <v>9.032050676295599</v>
      </c>
      <c r="J121" s="16">
        <v>0.74860000000000004</v>
      </c>
      <c r="K121" s="16">
        <v>0.74860000000000004</v>
      </c>
      <c r="L121" s="13">
        <v>0.2487</v>
      </c>
      <c r="M121" s="13">
        <v>1.6500000000000001E-2</v>
      </c>
      <c r="N121" s="13">
        <v>0.1096</v>
      </c>
      <c r="O121" s="13">
        <v>8.6599999999999996E-2</v>
      </c>
      <c r="P121" s="16">
        <v>0.60980000000000001</v>
      </c>
      <c r="Q121" s="16">
        <v>0.60980000000000001</v>
      </c>
      <c r="R121" s="16">
        <v>0.60980000000000001</v>
      </c>
      <c r="S121" s="16">
        <f t="shared" si="2"/>
        <v>0.60980000000000001</v>
      </c>
      <c r="T121" s="18">
        <v>1</v>
      </c>
      <c r="U121" s="1">
        <v>88.607594939999998</v>
      </c>
      <c r="V121" s="1">
        <f t="shared" si="3"/>
        <v>4.4954400813438964</v>
      </c>
      <c r="W121" s="25"/>
      <c r="X121">
        <v>3.4700000000000002E-2</v>
      </c>
      <c r="Y121" s="1">
        <v>0</v>
      </c>
      <c r="Z121" s="1">
        <v>0</v>
      </c>
      <c r="AA121" s="1">
        <v>11150</v>
      </c>
      <c r="AB121" s="1">
        <v>79</v>
      </c>
      <c r="AC121" s="29">
        <v>3384</v>
      </c>
    </row>
    <row r="122" spans="1:29">
      <c r="A122" s="12">
        <v>5</v>
      </c>
      <c r="B122" s="12" t="s">
        <v>12</v>
      </c>
      <c r="C122" s="12">
        <v>5885</v>
      </c>
      <c r="D122" s="12" t="s">
        <v>133</v>
      </c>
      <c r="E122" s="17">
        <v>0.86184837348577648</v>
      </c>
      <c r="F122" s="17">
        <v>0.1381516265142235</v>
      </c>
      <c r="G122" s="13">
        <v>0.90804597701149425</v>
      </c>
      <c r="H122" s="13">
        <v>6.2322834645669287</v>
      </c>
      <c r="I122" s="14">
        <v>8.902183446335016</v>
      </c>
      <c r="J122" s="16">
        <v>0.68789999999999996</v>
      </c>
      <c r="K122" s="16">
        <v>0.68789999999999996</v>
      </c>
      <c r="L122" s="13">
        <v>0.3629</v>
      </c>
      <c r="M122" s="13">
        <v>3.5499999999999997E-2</v>
      </c>
      <c r="N122" s="13">
        <v>0.1245</v>
      </c>
      <c r="O122" s="13">
        <v>0.1118</v>
      </c>
      <c r="P122" s="16">
        <v>0.56729999999999992</v>
      </c>
      <c r="Q122" s="16">
        <v>0.39380000000000004</v>
      </c>
      <c r="R122" s="16">
        <v>0.39380000000000004</v>
      </c>
      <c r="S122" s="16">
        <f t="shared" si="2"/>
        <v>0.45163333333333333</v>
      </c>
      <c r="T122" s="18">
        <v>1</v>
      </c>
      <c r="U122" s="1">
        <v>0</v>
      </c>
      <c r="V122" s="1">
        <f t="shared" si="3"/>
        <v>0</v>
      </c>
      <c r="W122" s="26"/>
      <c r="X122">
        <v>9.4200000000000006E-2</v>
      </c>
      <c r="Y122" s="1">
        <v>4.48E-2</v>
      </c>
      <c r="Z122" s="1">
        <v>4.3799999999999999E-2</v>
      </c>
      <c r="AA122" s="1">
        <v>7746</v>
      </c>
      <c r="AB122" s="1">
        <v>66</v>
      </c>
      <c r="AC122" s="29">
        <v>1579</v>
      </c>
    </row>
    <row r="123" spans="1:29">
      <c r="A123" s="12">
        <v>5</v>
      </c>
      <c r="B123" s="12" t="s">
        <v>12</v>
      </c>
      <c r="C123" s="12">
        <v>5887</v>
      </c>
      <c r="D123" s="12" t="s">
        <v>134</v>
      </c>
      <c r="E123" s="17">
        <v>0.65789530212875647</v>
      </c>
      <c r="F123" s="17">
        <v>0.34208321697849764</v>
      </c>
      <c r="G123" s="13">
        <v>1</v>
      </c>
      <c r="H123" s="13">
        <v>1.923081753108125</v>
      </c>
      <c r="I123" s="14">
        <v>10.748368208122004</v>
      </c>
      <c r="J123" s="16">
        <v>0.77249999999999996</v>
      </c>
      <c r="K123" s="16">
        <v>0.77249999999999996</v>
      </c>
      <c r="L123" s="13">
        <v>0.49740000000000001</v>
      </c>
      <c r="M123" s="13">
        <v>2.2599999999999999E-2</v>
      </c>
      <c r="N123" s="13">
        <v>8.4599999999999995E-2</v>
      </c>
      <c r="O123" s="13">
        <v>7.7000000000000002E-3</v>
      </c>
      <c r="P123" s="16">
        <v>0.85329999999999995</v>
      </c>
      <c r="Q123" s="16">
        <v>0.75950000000000006</v>
      </c>
      <c r="R123" s="16">
        <v>0.79709999999999992</v>
      </c>
      <c r="S123" s="16">
        <f t="shared" si="2"/>
        <v>0.80330000000000001</v>
      </c>
      <c r="T123" s="18">
        <v>1</v>
      </c>
      <c r="U123" s="1">
        <v>9.1743119269999998</v>
      </c>
      <c r="V123" s="1">
        <f t="shared" si="3"/>
        <v>2.3198661051599969</v>
      </c>
      <c r="W123" s="25"/>
      <c r="X123">
        <v>0.2167</v>
      </c>
      <c r="Y123" s="1">
        <v>0.21970000000000001</v>
      </c>
      <c r="Z123" s="1">
        <v>0.1986</v>
      </c>
      <c r="AA123" s="1">
        <v>41862</v>
      </c>
      <c r="AB123" s="1">
        <v>327</v>
      </c>
      <c r="AC123" s="29">
        <v>8812</v>
      </c>
    </row>
    <row r="124" spans="1:29">
      <c r="A124" s="12">
        <v>5</v>
      </c>
      <c r="B124" s="12" t="s">
        <v>12</v>
      </c>
      <c r="C124" s="12">
        <v>5890</v>
      </c>
      <c r="D124" s="12" t="s">
        <v>135</v>
      </c>
      <c r="E124" s="17">
        <v>0.81898009015777606</v>
      </c>
      <c r="F124" s="17">
        <v>0.18101990984222388</v>
      </c>
      <c r="G124" s="13">
        <v>0.88648378637139413</v>
      </c>
      <c r="H124" s="13">
        <v>4.5230809128630707</v>
      </c>
      <c r="I124" s="14">
        <v>9.9663214967074953</v>
      </c>
      <c r="J124" s="16">
        <v>0.70299999999999996</v>
      </c>
      <c r="K124" s="16">
        <v>0.70299999999999996</v>
      </c>
      <c r="L124" s="13">
        <v>0.43780000000000002</v>
      </c>
      <c r="M124" s="13">
        <v>2.86E-2</v>
      </c>
      <c r="N124" s="13">
        <v>8.1799999999999998E-2</v>
      </c>
      <c r="O124" s="13">
        <v>4.6100000000000002E-2</v>
      </c>
      <c r="P124" s="16">
        <v>0.37579999999999997</v>
      </c>
      <c r="Q124" s="16">
        <v>0.1133</v>
      </c>
      <c r="R124" s="16">
        <v>0.35369999999999996</v>
      </c>
      <c r="S124" s="16">
        <f t="shared" si="2"/>
        <v>0.28093333333333331</v>
      </c>
      <c r="T124" s="18">
        <v>0.81130540870272394</v>
      </c>
      <c r="U124" s="1">
        <v>13.88888889</v>
      </c>
      <c r="V124" s="1">
        <f t="shared" si="3"/>
        <v>2.700615222689319</v>
      </c>
      <c r="W124" s="26"/>
      <c r="X124">
        <v>7.1599999999999997E-2</v>
      </c>
      <c r="Y124" s="1">
        <v>7.7200000000000005E-2</v>
      </c>
      <c r="Z124" s="1">
        <v>7.4399999999999994E-2</v>
      </c>
      <c r="AA124" s="1">
        <v>24828</v>
      </c>
      <c r="AB124" s="1">
        <v>144</v>
      </c>
      <c r="AC124" s="29">
        <v>5039</v>
      </c>
    </row>
    <row r="125" spans="1:29">
      <c r="A125" s="12">
        <v>5</v>
      </c>
      <c r="B125" s="12" t="s">
        <v>12</v>
      </c>
      <c r="C125" s="12">
        <v>5893</v>
      </c>
      <c r="D125" s="12" t="s">
        <v>136</v>
      </c>
      <c r="E125" s="17">
        <v>0.88397364593137673</v>
      </c>
      <c r="F125" s="17">
        <v>0.11602635406862326</v>
      </c>
      <c r="G125" s="13">
        <v>0.56385391035846966</v>
      </c>
      <c r="H125" s="13">
        <v>7.6131171702284455</v>
      </c>
      <c r="I125" s="14">
        <v>9.366317953430535</v>
      </c>
      <c r="J125" s="16">
        <v>0.8498</v>
      </c>
      <c r="K125" s="16">
        <v>0.84960000000000002</v>
      </c>
      <c r="L125" s="13">
        <v>0.31440000000000001</v>
      </c>
      <c r="M125" s="13">
        <v>3.0700000000000002E-2</v>
      </c>
      <c r="N125" s="13">
        <v>0.1132</v>
      </c>
      <c r="O125" s="13">
        <v>3.2300000000000002E-2</v>
      </c>
      <c r="P125" s="16">
        <v>0.61270000000000002</v>
      </c>
      <c r="Q125" s="16">
        <v>0.61270000000000002</v>
      </c>
      <c r="R125" s="16">
        <v>0.61270000000000002</v>
      </c>
      <c r="S125" s="16">
        <f t="shared" si="2"/>
        <v>0.61270000000000002</v>
      </c>
      <c r="T125" s="18">
        <v>0.94678089304257496</v>
      </c>
      <c r="U125" s="1">
        <v>14.28571429</v>
      </c>
      <c r="V125" s="1">
        <f t="shared" si="3"/>
        <v>2.7269186856869667</v>
      </c>
      <c r="W125" s="25"/>
      <c r="X125">
        <v>0.35239999999999999</v>
      </c>
      <c r="Y125" s="1">
        <v>0.19040000000000001</v>
      </c>
      <c r="Z125" s="1">
        <v>0.17430000000000001</v>
      </c>
      <c r="AA125" s="1">
        <v>21677</v>
      </c>
      <c r="AB125" s="1">
        <v>210</v>
      </c>
      <c r="AC125" s="29">
        <v>4994</v>
      </c>
    </row>
    <row r="126" spans="1:29">
      <c r="A126" s="12">
        <v>5</v>
      </c>
      <c r="B126" s="12" t="s">
        <v>12</v>
      </c>
      <c r="C126" s="12">
        <v>5895</v>
      </c>
      <c r="D126" s="12" t="s">
        <v>137</v>
      </c>
      <c r="E126" s="17">
        <v>0.94035978983263158</v>
      </c>
      <c r="F126" s="17">
        <v>5.9605414245450433E-2</v>
      </c>
      <c r="G126" s="13">
        <v>1</v>
      </c>
      <c r="H126" s="13">
        <v>15.767211201866978</v>
      </c>
      <c r="I126" s="14">
        <v>10.266045159633016</v>
      </c>
      <c r="J126" s="16">
        <v>1.0235000000000001</v>
      </c>
      <c r="K126" s="16">
        <v>1.0235000000000001</v>
      </c>
      <c r="L126" s="13">
        <v>0.4546</v>
      </c>
      <c r="M126" s="13">
        <v>3.3799999999999997E-2</v>
      </c>
      <c r="N126" s="13">
        <v>0.1132</v>
      </c>
      <c r="O126" s="13">
        <v>1.7500000000000002E-2</v>
      </c>
      <c r="P126" s="16">
        <v>0.33700000000000002</v>
      </c>
      <c r="Q126" s="16">
        <v>0.34159999999999996</v>
      </c>
      <c r="R126" s="16">
        <v>0.58069999999999999</v>
      </c>
      <c r="S126" s="16">
        <f t="shared" si="2"/>
        <v>0.41976666666666668</v>
      </c>
      <c r="T126" s="18">
        <v>1</v>
      </c>
      <c r="U126" s="1">
        <v>21.604938270000002</v>
      </c>
      <c r="V126" s="1">
        <f t="shared" si="3"/>
        <v>3.1181683899310726</v>
      </c>
      <c r="W126" s="26"/>
      <c r="X126">
        <v>0.14760000000000001</v>
      </c>
      <c r="Y126" s="1">
        <v>8.9599999999999999E-2</v>
      </c>
      <c r="Z126" s="1">
        <v>8.5800000000000001E-2</v>
      </c>
      <c r="AA126" s="1">
        <v>26532</v>
      </c>
      <c r="AB126" s="1">
        <v>324</v>
      </c>
      <c r="AC126" s="29">
        <v>7036</v>
      </c>
    </row>
    <row r="127" spans="1:29">
      <c r="A127" s="12">
        <v>8</v>
      </c>
      <c r="B127" s="12" t="s">
        <v>145</v>
      </c>
      <c r="C127" s="12">
        <v>8001</v>
      </c>
      <c r="D127" s="12" t="s">
        <v>147</v>
      </c>
      <c r="E127" s="17">
        <v>0.5350648289404033</v>
      </c>
      <c r="F127" s="17">
        <v>0.46493396935533976</v>
      </c>
      <c r="G127" s="13">
        <v>1</v>
      </c>
      <c r="H127" s="13">
        <v>1.1508389851536329</v>
      </c>
      <c r="I127" s="14">
        <v>14.324917575984776</v>
      </c>
      <c r="J127" s="16">
        <v>0.96840000000000004</v>
      </c>
      <c r="K127" s="16">
        <v>0.96450000000000002</v>
      </c>
      <c r="L127" s="13">
        <v>0.60260000000000002</v>
      </c>
      <c r="M127" s="13">
        <v>1.6500000000000001E-2</v>
      </c>
      <c r="N127" s="13">
        <v>6.6900000000000001E-2</v>
      </c>
      <c r="O127" s="13">
        <v>5.2999999999999999E-2</v>
      </c>
      <c r="P127" s="16">
        <v>0.63880000000000003</v>
      </c>
      <c r="Q127" s="16">
        <v>0.62360000000000004</v>
      </c>
      <c r="R127" s="16"/>
      <c r="S127" s="16">
        <f t="shared" si="2"/>
        <v>0.42080000000000001</v>
      </c>
      <c r="T127" s="18">
        <v>1</v>
      </c>
      <c r="U127" s="1">
        <v>12.913223139999999</v>
      </c>
      <c r="V127" s="1">
        <f t="shared" si="3"/>
        <v>2.6328396929687479</v>
      </c>
      <c r="W127" s="25"/>
      <c r="X127">
        <v>0.82730000000000004</v>
      </c>
      <c r="Y127" s="1">
        <v>39.541499999999999</v>
      </c>
      <c r="Z127" s="1">
        <v>3.7023000000000001</v>
      </c>
      <c r="AA127" s="1">
        <v>1279120</v>
      </c>
      <c r="AB127" s="1">
        <v>13552</v>
      </c>
      <c r="AC127" s="29">
        <v>233481</v>
      </c>
    </row>
    <row r="128" spans="1:29">
      <c r="A128" s="12">
        <v>8</v>
      </c>
      <c r="B128" s="12" t="s">
        <v>145</v>
      </c>
      <c r="C128" s="12">
        <v>8078</v>
      </c>
      <c r="D128" s="12" t="s">
        <v>146</v>
      </c>
      <c r="E128" s="17">
        <v>0.76749692205701292</v>
      </c>
      <c r="F128" s="17">
        <v>0.23250307794298702</v>
      </c>
      <c r="G128" s="13">
        <v>0.90836619112481176</v>
      </c>
      <c r="H128" s="13">
        <v>3.3007942434322177</v>
      </c>
      <c r="I128" s="14">
        <v>11.056509109233009</v>
      </c>
      <c r="J128" s="16">
        <v>0.88160000000000005</v>
      </c>
      <c r="K128" s="16">
        <v>0.88049999999999995</v>
      </c>
      <c r="L128" s="13">
        <v>0.59530000000000005</v>
      </c>
      <c r="M128" s="13">
        <v>2.3599999999999999E-2</v>
      </c>
      <c r="N128" s="13">
        <v>7.3200000000000001E-2</v>
      </c>
      <c r="O128" s="13">
        <v>6.6500000000000004E-2</v>
      </c>
      <c r="P128" s="16">
        <v>1</v>
      </c>
      <c r="Q128" s="16">
        <v>0.53990000000000005</v>
      </c>
      <c r="R128" s="16">
        <v>0.86769999999999992</v>
      </c>
      <c r="S128" s="16">
        <f t="shared" si="2"/>
        <v>0.80253333333333332</v>
      </c>
      <c r="T128" s="18">
        <v>0.78103644646924808</v>
      </c>
      <c r="U128" s="1">
        <v>11.92504259</v>
      </c>
      <c r="V128" s="1">
        <f t="shared" si="3"/>
        <v>2.5591667155534741</v>
      </c>
      <c r="W128" s="26"/>
      <c r="X128">
        <v>9.2399999999999996E-2</v>
      </c>
      <c r="Y128" s="1">
        <v>3.4411</v>
      </c>
      <c r="Z128" s="1">
        <v>1.4908999999999999</v>
      </c>
      <c r="AA128" s="1">
        <v>73740</v>
      </c>
      <c r="AB128" s="1">
        <v>587</v>
      </c>
      <c r="AC128" s="29">
        <v>14682</v>
      </c>
    </row>
    <row r="129" spans="1:29">
      <c r="A129" s="12">
        <v>8</v>
      </c>
      <c r="B129" s="12" t="s">
        <v>145</v>
      </c>
      <c r="C129" s="12">
        <v>8137</v>
      </c>
      <c r="D129" s="12" t="s">
        <v>148</v>
      </c>
      <c r="E129" s="17">
        <v>0.92900447812607645</v>
      </c>
      <c r="F129" s="17">
        <v>7.0995521873923523E-2</v>
      </c>
      <c r="G129" s="13">
        <v>1</v>
      </c>
      <c r="H129" s="13">
        <v>13.079049466537342</v>
      </c>
      <c r="I129" s="14">
        <v>10.276119503549053</v>
      </c>
      <c r="J129" s="16">
        <v>0.87909999999999999</v>
      </c>
      <c r="K129" s="16">
        <v>0.87909999999999999</v>
      </c>
      <c r="L129" s="13">
        <v>0.43090000000000001</v>
      </c>
      <c r="M129" s="13">
        <v>3.32E-2</v>
      </c>
      <c r="N129" s="13">
        <v>0.1135</v>
      </c>
      <c r="O129" s="13">
        <v>0.11990000000000001</v>
      </c>
      <c r="P129" s="16">
        <v>0.99950000000000006</v>
      </c>
      <c r="Q129" s="16">
        <v>0.20050000000000001</v>
      </c>
      <c r="R129" s="16">
        <v>1</v>
      </c>
      <c r="S129" s="16">
        <f t="shared" si="2"/>
        <v>0.73333333333333339</v>
      </c>
      <c r="T129" s="18">
        <v>0.66147596479350002</v>
      </c>
      <c r="U129" s="1">
        <v>4.3668122269999996</v>
      </c>
      <c r="V129" s="1">
        <f t="shared" si="3"/>
        <v>1.6802341059979626</v>
      </c>
      <c r="W129" s="26"/>
      <c r="X129">
        <v>2.1600000000000001E-2</v>
      </c>
      <c r="Y129" s="1">
        <v>1.2145999999999999</v>
      </c>
      <c r="Z129" s="1">
        <v>0.79510000000000003</v>
      </c>
      <c r="AA129" s="1">
        <v>26781</v>
      </c>
      <c r="AB129" s="1">
        <v>229</v>
      </c>
      <c r="AC129" s="29">
        <v>5991</v>
      </c>
    </row>
    <row r="130" spans="1:29">
      <c r="A130" s="12">
        <v>8</v>
      </c>
      <c r="B130" s="12" t="s">
        <v>145</v>
      </c>
      <c r="C130" s="12">
        <v>8141</v>
      </c>
      <c r="D130" s="12" t="s">
        <v>149</v>
      </c>
      <c r="E130" s="17">
        <v>0.91675548325573564</v>
      </c>
      <c r="F130" s="17">
        <v>8.3244516744264321E-2</v>
      </c>
      <c r="G130" s="13">
        <v>1</v>
      </c>
      <c r="H130" s="13">
        <v>11.005387205387205</v>
      </c>
      <c r="I130" s="14">
        <v>9.7885255340664461</v>
      </c>
      <c r="J130" s="16">
        <v>0.82620000000000005</v>
      </c>
      <c r="K130" s="16">
        <v>0.82569999999999999</v>
      </c>
      <c r="L130" s="13">
        <v>0.44569999999999999</v>
      </c>
      <c r="M130" s="13">
        <v>4.9200000000000001E-2</v>
      </c>
      <c r="N130" s="13">
        <v>9.0999999999999998E-2</v>
      </c>
      <c r="O130" s="13">
        <v>0.1028</v>
      </c>
      <c r="P130" s="16">
        <v>0.81459999999999999</v>
      </c>
      <c r="Q130" s="16">
        <v>0.65439999999999998</v>
      </c>
      <c r="R130" s="16">
        <v>0.83909999999999996</v>
      </c>
      <c r="S130" s="16">
        <f t="shared" ref="S130:S193" si="4">+(P130+Q130+R130)/3</f>
        <v>0.76936666666666653</v>
      </c>
      <c r="T130" s="18">
        <v>0.81767180925666194</v>
      </c>
      <c r="U130" s="1">
        <v>17.441860470000002</v>
      </c>
      <c r="V130" s="1">
        <f t="shared" ref="V130:V193" si="5">LN(U130+1)</f>
        <v>2.9146231062061028</v>
      </c>
      <c r="W130" s="25"/>
      <c r="X130">
        <v>1.7500000000000002E-2</v>
      </c>
      <c r="Y130" s="1">
        <v>0.68810000000000004</v>
      </c>
      <c r="Z130" s="1">
        <v>0.52359999999999995</v>
      </c>
      <c r="AA130" s="1">
        <v>19104</v>
      </c>
      <c r="AB130" s="1">
        <v>172</v>
      </c>
      <c r="AC130" s="29">
        <v>4335</v>
      </c>
    </row>
    <row r="131" spans="1:29">
      <c r="A131" s="12">
        <v>8</v>
      </c>
      <c r="B131" s="12" t="s">
        <v>145</v>
      </c>
      <c r="C131" s="12">
        <v>8296</v>
      </c>
      <c r="D131" s="12" t="s">
        <v>150</v>
      </c>
      <c r="E131" s="17">
        <v>0.74399067942114294</v>
      </c>
      <c r="F131" s="17">
        <v>0.256009320578857</v>
      </c>
      <c r="G131" s="13">
        <v>0.71324022509257368</v>
      </c>
      <c r="H131" s="13">
        <v>2.9058757783809677</v>
      </c>
      <c r="I131" s="14">
        <v>10.798043792264277</v>
      </c>
      <c r="J131" s="16">
        <v>0.73709999999999998</v>
      </c>
      <c r="K131" s="16">
        <v>0.73640000000000005</v>
      </c>
      <c r="L131" s="13">
        <v>0.44369999999999998</v>
      </c>
      <c r="M131" s="13">
        <v>3.2599999999999997E-2</v>
      </c>
      <c r="N131" s="13">
        <v>7.5700000000000003E-2</v>
      </c>
      <c r="O131" s="13">
        <v>7.5200000000000003E-2</v>
      </c>
      <c r="P131" s="16">
        <v>0.99180000000000001</v>
      </c>
      <c r="Q131" s="16">
        <v>0.97709999999999997</v>
      </c>
      <c r="R131" s="16">
        <v>0.99069999999999991</v>
      </c>
      <c r="S131" s="16">
        <f t="shared" si="4"/>
        <v>0.98653333333333337</v>
      </c>
      <c r="T131" s="18">
        <v>1</v>
      </c>
      <c r="U131" s="1">
        <v>14.446227929999999</v>
      </c>
      <c r="V131" s="1">
        <f t="shared" si="5"/>
        <v>2.7373648266094754</v>
      </c>
      <c r="W131" s="26"/>
      <c r="X131">
        <v>0.26300000000000001</v>
      </c>
      <c r="Y131" s="1">
        <v>6.9108000000000001</v>
      </c>
      <c r="Z131" s="1">
        <v>2.0682</v>
      </c>
      <c r="AA131" s="1">
        <v>69030</v>
      </c>
      <c r="AB131" s="1">
        <v>623</v>
      </c>
      <c r="AC131" s="29">
        <v>15151</v>
      </c>
    </row>
    <row r="132" spans="1:29">
      <c r="A132" s="12">
        <v>8</v>
      </c>
      <c r="B132" s="12" t="s">
        <v>145</v>
      </c>
      <c r="C132" s="12">
        <v>8372</v>
      </c>
      <c r="D132" s="12" t="s">
        <v>151</v>
      </c>
      <c r="E132" s="17">
        <v>0.87826977220373692</v>
      </c>
      <c r="F132" s="17">
        <v>0.12173022779626312</v>
      </c>
      <c r="G132" s="13">
        <v>0.82884297170011456</v>
      </c>
      <c r="H132" s="13">
        <v>7.2118537200504411</v>
      </c>
      <c r="I132" s="14">
        <v>9.8800141963504853</v>
      </c>
      <c r="J132" s="16">
        <v>0.81879999999999997</v>
      </c>
      <c r="K132" s="16">
        <v>0.81799999999999995</v>
      </c>
      <c r="L132" s="13">
        <v>0.45729999999999998</v>
      </c>
      <c r="M132" s="13">
        <v>3.78E-2</v>
      </c>
      <c r="N132" s="13">
        <v>6.2600000000000003E-2</v>
      </c>
      <c r="O132" s="13">
        <v>7.1300000000000002E-2</v>
      </c>
      <c r="P132" s="16">
        <v>0.65040000000000009</v>
      </c>
      <c r="Q132" s="16">
        <v>0.65040000000000009</v>
      </c>
      <c r="R132" s="16">
        <v>0.55200000000000005</v>
      </c>
      <c r="S132" s="16">
        <f t="shared" si="4"/>
        <v>0.61760000000000004</v>
      </c>
      <c r="T132" s="18">
        <v>0.85448295617301595</v>
      </c>
      <c r="U132" s="1">
        <v>12.578616350000001</v>
      </c>
      <c r="V132" s="1">
        <f t="shared" si="5"/>
        <v>2.6084962281324637</v>
      </c>
      <c r="W132" s="25"/>
      <c r="X132">
        <v>0.08</v>
      </c>
      <c r="Y132" s="1">
        <v>1.1791</v>
      </c>
      <c r="Z132" s="1">
        <v>0.77890000000000004</v>
      </c>
      <c r="AA132" s="1">
        <v>23939</v>
      </c>
      <c r="AB132" s="1">
        <v>159</v>
      </c>
      <c r="AC132" s="29">
        <v>4826</v>
      </c>
    </row>
    <row r="133" spans="1:29">
      <c r="A133" s="12">
        <v>8</v>
      </c>
      <c r="B133" s="12" t="s">
        <v>145</v>
      </c>
      <c r="C133" s="12">
        <v>8421</v>
      </c>
      <c r="D133" s="12" t="s">
        <v>152</v>
      </c>
      <c r="E133" s="17">
        <v>0.92289481351981351</v>
      </c>
      <c r="F133" s="17">
        <v>7.710518648018648E-2</v>
      </c>
      <c r="G133" s="13">
        <v>0.88019748020389188</v>
      </c>
      <c r="H133" s="13">
        <v>11.963644948064211</v>
      </c>
      <c r="I133" s="14">
        <v>10.22037642353585</v>
      </c>
      <c r="J133" s="16">
        <v>0.78549999999999998</v>
      </c>
      <c r="K133" s="16">
        <v>0.78539999999999999</v>
      </c>
      <c r="L133" s="13">
        <v>0.40460000000000002</v>
      </c>
      <c r="M133" s="13">
        <v>3.2800000000000003E-2</v>
      </c>
      <c r="N133" s="13">
        <v>9.3899999999999997E-2</v>
      </c>
      <c r="O133" s="13">
        <v>6.1499999999999999E-2</v>
      </c>
      <c r="P133" s="16">
        <v>1</v>
      </c>
      <c r="Q133" s="16">
        <v>1</v>
      </c>
      <c r="R133" s="16">
        <v>1</v>
      </c>
      <c r="S133" s="16">
        <f t="shared" si="4"/>
        <v>1</v>
      </c>
      <c r="T133" s="18">
        <v>0.90346352247605</v>
      </c>
      <c r="U133" s="1">
        <v>3.6764705879999999</v>
      </c>
      <c r="V133" s="1">
        <f t="shared" si="5"/>
        <v>1.5425436775537558</v>
      </c>
      <c r="W133" s="26"/>
      <c r="X133">
        <v>3.5400000000000001E-2</v>
      </c>
      <c r="Y133" s="1">
        <v>0.6633</v>
      </c>
      <c r="Z133" s="1">
        <v>0.50880000000000003</v>
      </c>
      <c r="AA133" s="1">
        <v>32443</v>
      </c>
      <c r="AB133" s="1">
        <v>272</v>
      </c>
      <c r="AC133" s="29">
        <v>7415</v>
      </c>
    </row>
    <row r="134" spans="1:29">
      <c r="A134" s="12">
        <v>8</v>
      </c>
      <c r="B134" s="12" t="s">
        <v>145</v>
      </c>
      <c r="C134" s="12">
        <v>8433</v>
      </c>
      <c r="D134" s="12" t="s">
        <v>153</v>
      </c>
      <c r="E134" s="17">
        <v>0.79077998495774893</v>
      </c>
      <c r="F134" s="17">
        <v>0.20922001504225102</v>
      </c>
      <c r="G134" s="13">
        <v>0.78509899270580064</v>
      </c>
      <c r="H134" s="13">
        <v>3.7794975894443037</v>
      </c>
      <c r="I134" s="14">
        <v>11.6352846805915</v>
      </c>
      <c r="J134" s="16">
        <v>0.87570000000000003</v>
      </c>
      <c r="K134" s="16">
        <v>0.87280000000000002</v>
      </c>
      <c r="L134" s="13">
        <v>0.58250000000000002</v>
      </c>
      <c r="M134" s="13">
        <v>1.9699999999999999E-2</v>
      </c>
      <c r="N134" s="13">
        <v>5.74E-2</v>
      </c>
      <c r="O134" s="13">
        <v>3.2899999999999999E-2</v>
      </c>
      <c r="P134" s="16">
        <v>0.53790000000000004</v>
      </c>
      <c r="Q134" s="16">
        <v>0.47039999999999998</v>
      </c>
      <c r="R134" s="16">
        <v>0.51680000000000004</v>
      </c>
      <c r="S134" s="16">
        <f t="shared" si="4"/>
        <v>0.50836666666666674</v>
      </c>
      <c r="T134" s="18">
        <v>0.78423680456490696</v>
      </c>
      <c r="U134" s="1">
        <v>13.24503311</v>
      </c>
      <c r="V134" s="1">
        <f t="shared" si="5"/>
        <v>2.6564082922714949</v>
      </c>
      <c r="W134" s="25"/>
      <c r="X134">
        <v>0.2432</v>
      </c>
      <c r="Y134" s="1">
        <v>8.7308000000000003</v>
      </c>
      <c r="Z134" s="1">
        <v>2.2753000000000001</v>
      </c>
      <c r="AA134" s="1">
        <v>149019</v>
      </c>
      <c r="AB134" s="1">
        <v>1208</v>
      </c>
      <c r="AC134" s="29">
        <v>32549</v>
      </c>
    </row>
    <row r="135" spans="1:29">
      <c r="A135" s="12">
        <v>8</v>
      </c>
      <c r="B135" s="12" t="s">
        <v>145</v>
      </c>
      <c r="C135" s="12">
        <v>8436</v>
      </c>
      <c r="D135" s="12" t="s">
        <v>154</v>
      </c>
      <c r="E135" s="17">
        <v>0.95361985530161464</v>
      </c>
      <c r="F135" s="17">
        <v>4.638014469838532E-2</v>
      </c>
      <c r="G135" s="13">
        <v>0.95405924300603406</v>
      </c>
      <c r="H135" s="13">
        <v>20.539731682146542</v>
      </c>
      <c r="I135" s="14">
        <v>9.946163826816564</v>
      </c>
      <c r="J135" s="16">
        <v>0.7651</v>
      </c>
      <c r="K135" s="16">
        <v>0.7651</v>
      </c>
      <c r="L135" s="13">
        <v>0.38500000000000001</v>
      </c>
      <c r="M135" s="13">
        <v>1.8599999999999998E-2</v>
      </c>
      <c r="N135" s="13">
        <v>5.5300000000000002E-2</v>
      </c>
      <c r="O135" s="13">
        <v>6.7599999999999993E-2</v>
      </c>
      <c r="P135" s="16">
        <v>1</v>
      </c>
      <c r="Q135" s="16">
        <v>0.55079999999999996</v>
      </c>
      <c r="R135" s="16">
        <v>1</v>
      </c>
      <c r="S135" s="16">
        <f t="shared" si="4"/>
        <v>0.85026666666666662</v>
      </c>
      <c r="T135" s="18">
        <v>0.94496365524402903</v>
      </c>
      <c r="U135" s="1">
        <v>5.050505051</v>
      </c>
      <c r="V135" s="1">
        <f t="shared" si="5"/>
        <v>1.8001417480626625</v>
      </c>
      <c r="W135" s="26"/>
      <c r="X135">
        <v>2.5999999999999999E-2</v>
      </c>
      <c r="Y135" s="1">
        <v>0.65910000000000002</v>
      </c>
      <c r="Z135" s="1">
        <v>0.50629999999999997</v>
      </c>
      <c r="AA135" s="1">
        <v>23362</v>
      </c>
      <c r="AB135" s="1">
        <v>198</v>
      </c>
      <c r="AC135" s="29">
        <v>5609</v>
      </c>
    </row>
    <row r="136" spans="1:29">
      <c r="A136" s="12">
        <v>8</v>
      </c>
      <c r="B136" s="12" t="s">
        <v>145</v>
      </c>
      <c r="C136" s="12">
        <v>8520</v>
      </c>
      <c r="D136" s="12" t="s">
        <v>155</v>
      </c>
      <c r="E136" s="17">
        <v>0.84826349988796779</v>
      </c>
      <c r="F136" s="17">
        <v>0.15173650011203227</v>
      </c>
      <c r="G136" s="13">
        <v>0.68947937586899433</v>
      </c>
      <c r="H136" s="13">
        <v>5.5887215825214049</v>
      </c>
      <c r="I136" s="14">
        <v>10.013059188965419</v>
      </c>
      <c r="J136" s="16">
        <v>0.89859999999999995</v>
      </c>
      <c r="K136" s="16">
        <v>0.89780000000000004</v>
      </c>
      <c r="L136" s="13">
        <v>0.54849999999999999</v>
      </c>
      <c r="M136" s="13">
        <v>2.58E-2</v>
      </c>
      <c r="N136" s="13">
        <v>6.6199999999999995E-2</v>
      </c>
      <c r="O136" s="13">
        <v>6.9900000000000004E-2</v>
      </c>
      <c r="P136" s="16">
        <v>1</v>
      </c>
      <c r="Q136" s="16">
        <v>0.33049999999999996</v>
      </c>
      <c r="R136" s="16">
        <v>1</v>
      </c>
      <c r="S136" s="16">
        <f t="shared" si="4"/>
        <v>0.77683333333333326</v>
      </c>
      <c r="T136" s="18">
        <v>0.398446170921198</v>
      </c>
      <c r="U136" s="1">
        <v>0</v>
      </c>
      <c r="V136" s="1">
        <f t="shared" si="5"/>
        <v>0</v>
      </c>
      <c r="W136" s="25"/>
      <c r="X136">
        <v>0.13439999999999999</v>
      </c>
      <c r="Y136" s="1">
        <v>2.1509999999999998</v>
      </c>
      <c r="Z136" s="1">
        <v>1.1476999999999999</v>
      </c>
      <c r="AA136" s="1">
        <v>34647</v>
      </c>
      <c r="AB136" s="1">
        <v>242</v>
      </c>
      <c r="AC136" s="29">
        <v>6554</v>
      </c>
    </row>
    <row r="137" spans="1:29">
      <c r="A137" s="12">
        <v>8</v>
      </c>
      <c r="B137" s="12" t="s">
        <v>145</v>
      </c>
      <c r="C137" s="12">
        <v>8549</v>
      </c>
      <c r="D137" s="12" t="s">
        <v>156</v>
      </c>
      <c r="E137" s="17">
        <v>0.90113840623127617</v>
      </c>
      <c r="F137" s="17">
        <v>9.8861593768723791E-2</v>
      </c>
      <c r="G137" s="13">
        <v>0.68336290432646374</v>
      </c>
      <c r="H137" s="13">
        <v>9.0967741935483879</v>
      </c>
      <c r="I137" s="14">
        <v>8.5187919127799336</v>
      </c>
      <c r="J137" s="16">
        <v>0.61629999999999996</v>
      </c>
      <c r="K137" s="16">
        <v>0.61560000000000004</v>
      </c>
      <c r="L137" s="13">
        <v>0.29820000000000002</v>
      </c>
      <c r="M137" s="13">
        <v>2.35E-2</v>
      </c>
      <c r="N137" s="13">
        <v>0.1011</v>
      </c>
      <c r="O137" s="13">
        <v>5.5199999999999999E-2</v>
      </c>
      <c r="P137" s="16">
        <v>1</v>
      </c>
      <c r="Q137" s="16">
        <v>0</v>
      </c>
      <c r="R137" s="16">
        <v>1</v>
      </c>
      <c r="S137" s="16">
        <f t="shared" si="4"/>
        <v>0.66666666666666663</v>
      </c>
      <c r="T137" s="18">
        <v>0.5</v>
      </c>
      <c r="U137" s="1">
        <v>0</v>
      </c>
      <c r="V137" s="1">
        <f t="shared" si="5"/>
        <v>0</v>
      </c>
      <c r="W137" s="26"/>
      <c r="X137">
        <v>3.6799999999999999E-2</v>
      </c>
      <c r="Y137" s="1">
        <v>0.23480000000000001</v>
      </c>
      <c r="Z137" s="1">
        <v>0.2109</v>
      </c>
      <c r="AA137" s="1">
        <v>7724</v>
      </c>
      <c r="AB137" s="1">
        <v>37</v>
      </c>
      <c r="AC137" s="29">
        <v>1549</v>
      </c>
    </row>
    <row r="138" spans="1:29">
      <c r="A138" s="12">
        <v>8</v>
      </c>
      <c r="B138" s="12" t="s">
        <v>145</v>
      </c>
      <c r="C138" s="12">
        <v>8558</v>
      </c>
      <c r="D138" s="12" t="s">
        <v>157</v>
      </c>
      <c r="E138" s="17">
        <v>0.76612267867191897</v>
      </c>
      <c r="F138" s="17">
        <v>0.23387732132808103</v>
      </c>
      <c r="G138" s="13">
        <v>0.87939822833671499</v>
      </c>
      <c r="H138" s="13">
        <v>3.2749579023334134</v>
      </c>
      <c r="I138" s="14">
        <v>9.7853231941854855</v>
      </c>
      <c r="J138" s="16">
        <v>0.65600000000000003</v>
      </c>
      <c r="K138" s="16">
        <v>0.65549999999999997</v>
      </c>
      <c r="L138" s="13">
        <v>0.41349999999999998</v>
      </c>
      <c r="M138" s="13">
        <v>3.8699999999999998E-2</v>
      </c>
      <c r="N138" s="13">
        <v>8.1299999999999997E-2</v>
      </c>
      <c r="O138" s="13">
        <v>5.21E-2</v>
      </c>
      <c r="P138" s="16">
        <v>1</v>
      </c>
      <c r="Q138" s="16">
        <v>0.80640000000000001</v>
      </c>
      <c r="R138" s="16">
        <v>1</v>
      </c>
      <c r="S138" s="16">
        <f t="shared" si="4"/>
        <v>0.93546666666666667</v>
      </c>
      <c r="T138" s="18">
        <v>1</v>
      </c>
      <c r="U138" s="1">
        <v>13.88888889</v>
      </c>
      <c r="V138" s="1">
        <f t="shared" si="5"/>
        <v>2.700615222689319</v>
      </c>
      <c r="W138" s="25"/>
      <c r="X138">
        <v>2.29E-2</v>
      </c>
      <c r="Y138" s="1">
        <v>2.5918000000000001</v>
      </c>
      <c r="Z138" s="1">
        <v>1.2786</v>
      </c>
      <c r="AA138" s="1">
        <v>21012</v>
      </c>
      <c r="AB138" s="1">
        <v>144</v>
      </c>
      <c r="AC138" s="29">
        <v>4484</v>
      </c>
    </row>
    <row r="139" spans="1:29">
      <c r="A139" s="12">
        <v>8</v>
      </c>
      <c r="B139" s="12" t="s">
        <v>145</v>
      </c>
      <c r="C139" s="12">
        <v>8560</v>
      </c>
      <c r="D139" s="12" t="s">
        <v>158</v>
      </c>
      <c r="E139" s="17">
        <v>0.90813726322942323</v>
      </c>
      <c r="F139" s="17">
        <v>9.1862736770576742E-2</v>
      </c>
      <c r="G139" s="13">
        <v>0.88223612724343359</v>
      </c>
      <c r="H139" s="13">
        <v>9.8812384473197774</v>
      </c>
      <c r="I139" s="14">
        <v>10.066753702794923</v>
      </c>
      <c r="J139" s="16">
        <v>0.77310000000000001</v>
      </c>
      <c r="K139" s="16">
        <v>0.77280000000000004</v>
      </c>
      <c r="L139" s="13">
        <v>0.35460000000000003</v>
      </c>
      <c r="M139" s="13">
        <v>3.9699999999999999E-2</v>
      </c>
      <c r="N139" s="13">
        <v>0.1167</v>
      </c>
      <c r="O139" s="13">
        <v>8.2400000000000001E-2</v>
      </c>
      <c r="P139" s="16">
        <v>0.78769999999999996</v>
      </c>
      <c r="Q139" s="16">
        <v>0</v>
      </c>
      <c r="R139" s="16">
        <v>0.48979999999999996</v>
      </c>
      <c r="S139" s="16">
        <f t="shared" si="4"/>
        <v>0.42583333333333329</v>
      </c>
      <c r="T139" s="18">
        <v>0.774520448787549</v>
      </c>
      <c r="U139" s="1">
        <v>11.81102362</v>
      </c>
      <c r="V139" s="1">
        <f t="shared" si="5"/>
        <v>2.5503060206006434</v>
      </c>
      <c r="W139" s="26"/>
      <c r="X139">
        <v>0.1139</v>
      </c>
      <c r="Y139" s="1">
        <v>0.94620000000000004</v>
      </c>
      <c r="Z139" s="1">
        <v>0.66590000000000005</v>
      </c>
      <c r="AA139" s="1">
        <v>27097</v>
      </c>
      <c r="AB139" s="1">
        <v>254</v>
      </c>
      <c r="AC139" s="29">
        <v>6231</v>
      </c>
    </row>
    <row r="140" spans="1:29">
      <c r="A140" s="12">
        <v>8</v>
      </c>
      <c r="B140" s="12" t="s">
        <v>145</v>
      </c>
      <c r="C140" s="12">
        <v>8573</v>
      </c>
      <c r="D140" s="12" t="s">
        <v>159</v>
      </c>
      <c r="E140" s="17">
        <v>0.65379807552545133</v>
      </c>
      <c r="F140" s="17">
        <v>0.34620192447454867</v>
      </c>
      <c r="G140" s="13">
        <v>0.62021527865423798</v>
      </c>
      <c r="H140" s="13">
        <v>1.8883291351805205</v>
      </c>
      <c r="I140" s="14">
        <v>10.44581184336149</v>
      </c>
      <c r="J140" s="16">
        <v>1.5245</v>
      </c>
      <c r="K140" s="16">
        <v>1.4783999999999999</v>
      </c>
      <c r="L140" s="13">
        <v>0.86429999999999996</v>
      </c>
      <c r="M140" s="13">
        <v>3.0300000000000001E-2</v>
      </c>
      <c r="N140" s="13">
        <v>8.7400000000000005E-2</v>
      </c>
      <c r="O140" s="13">
        <v>9.74E-2</v>
      </c>
      <c r="P140" s="16">
        <v>0.99199999999999999</v>
      </c>
      <c r="Q140" s="16">
        <v>0.73799999999999999</v>
      </c>
      <c r="R140" s="16">
        <v>0.9840000000000001</v>
      </c>
      <c r="S140" s="16">
        <f t="shared" si="4"/>
        <v>0.90466666666666662</v>
      </c>
      <c r="T140" s="18">
        <v>1</v>
      </c>
      <c r="U140" s="1">
        <v>13.729977119999999</v>
      </c>
      <c r="V140" s="1">
        <f t="shared" si="5"/>
        <v>2.6898846771807325</v>
      </c>
      <c r="W140" s="25"/>
      <c r="X140">
        <v>0.29709999999999998</v>
      </c>
      <c r="Y140" s="1">
        <v>11.2316</v>
      </c>
      <c r="Z140" s="1">
        <v>2.504</v>
      </c>
      <c r="AA140" s="1">
        <v>62582</v>
      </c>
      <c r="AB140" s="1">
        <v>437</v>
      </c>
      <c r="AC140" s="29">
        <v>11234</v>
      </c>
    </row>
    <row r="141" spans="1:29">
      <c r="A141" s="12">
        <v>8</v>
      </c>
      <c r="B141" s="12" t="s">
        <v>145</v>
      </c>
      <c r="C141" s="12">
        <v>8606</v>
      </c>
      <c r="D141" s="12" t="s">
        <v>160</v>
      </c>
      <c r="E141" s="17">
        <v>0.90749802115564515</v>
      </c>
      <c r="F141" s="17">
        <v>9.2430020867813198E-2</v>
      </c>
      <c r="G141" s="13">
        <v>0.95788530465949817</v>
      </c>
      <c r="H141" s="13">
        <v>9.8143968871595337</v>
      </c>
      <c r="I141" s="14">
        <v>10.232611427387569</v>
      </c>
      <c r="J141" s="16">
        <v>0.82740000000000002</v>
      </c>
      <c r="K141" s="16">
        <v>0.82540000000000002</v>
      </c>
      <c r="L141" s="13">
        <v>0.41070000000000001</v>
      </c>
      <c r="M141" s="13">
        <v>6.8999999999999999E-3</v>
      </c>
      <c r="N141" s="13">
        <v>8.9899999999999994E-2</v>
      </c>
      <c r="O141" s="13">
        <v>6.54E-2</v>
      </c>
      <c r="P141" s="16">
        <v>0.99950000000000006</v>
      </c>
      <c r="Q141" s="16">
        <v>0.85530000000000006</v>
      </c>
      <c r="R141" s="16">
        <v>1</v>
      </c>
      <c r="S141" s="16">
        <f t="shared" si="4"/>
        <v>0.9516</v>
      </c>
      <c r="T141" s="18">
        <v>0.46638207043756602</v>
      </c>
      <c r="U141" s="1">
        <v>11.583011580000001</v>
      </c>
      <c r="V141" s="1">
        <f t="shared" si="5"/>
        <v>2.5323476168986865</v>
      </c>
      <c r="W141" s="26"/>
      <c r="X141">
        <v>3.6799999999999999E-2</v>
      </c>
      <c r="Y141" s="1">
        <v>0.43719999999999998</v>
      </c>
      <c r="Z141" s="1">
        <v>0.36270000000000002</v>
      </c>
      <c r="AA141" s="1">
        <v>29894</v>
      </c>
      <c r="AB141" s="1">
        <v>259</v>
      </c>
      <c r="AC141" s="29">
        <v>6765</v>
      </c>
    </row>
    <row r="142" spans="1:29">
      <c r="A142" s="12">
        <v>8</v>
      </c>
      <c r="B142" s="12" t="s">
        <v>145</v>
      </c>
      <c r="C142" s="12">
        <v>8634</v>
      </c>
      <c r="D142" s="12" t="s">
        <v>161</v>
      </c>
      <c r="E142" s="17">
        <v>0.79943463872035303</v>
      </c>
      <c r="F142" s="17">
        <v>0.200565361279647</v>
      </c>
      <c r="G142" s="13">
        <v>0.79911845730027553</v>
      </c>
      <c r="H142" s="13">
        <v>3.9852208283210175</v>
      </c>
      <c r="I142" s="14">
        <v>10.275361405649203</v>
      </c>
      <c r="J142" s="16">
        <v>0.92430000000000001</v>
      </c>
      <c r="K142" s="16">
        <v>0.92420000000000002</v>
      </c>
      <c r="L142" s="13">
        <v>0.5665</v>
      </c>
      <c r="M142" s="13">
        <v>3.0300000000000001E-2</v>
      </c>
      <c r="N142" s="13">
        <v>7.1800000000000003E-2</v>
      </c>
      <c r="O142" s="13">
        <v>7.0000000000000007E-2</v>
      </c>
      <c r="P142" s="16">
        <v>1</v>
      </c>
      <c r="Q142" s="16">
        <v>0.96140000000000003</v>
      </c>
      <c r="R142" s="16">
        <v>0.9778</v>
      </c>
      <c r="S142" s="16">
        <f t="shared" si="4"/>
        <v>0.97973333333333334</v>
      </c>
      <c r="T142" s="18">
        <v>1</v>
      </c>
      <c r="U142" s="1">
        <v>17.751479289999999</v>
      </c>
      <c r="V142" s="1">
        <f t="shared" si="5"/>
        <v>2.9312726447710027</v>
      </c>
      <c r="W142" s="25"/>
      <c r="X142">
        <v>7.5399999999999995E-2</v>
      </c>
      <c r="Y142" s="1">
        <v>8.6454000000000004</v>
      </c>
      <c r="Z142" s="1">
        <v>2.2665000000000002</v>
      </c>
      <c r="AA142" s="1">
        <v>38726</v>
      </c>
      <c r="AB142" s="1">
        <v>338</v>
      </c>
      <c r="AC142" s="29">
        <v>8035</v>
      </c>
    </row>
    <row r="143" spans="1:29">
      <c r="A143" s="12">
        <v>8</v>
      </c>
      <c r="B143" s="12" t="s">
        <v>145</v>
      </c>
      <c r="C143" s="12">
        <v>8638</v>
      </c>
      <c r="D143" s="12" t="s">
        <v>98</v>
      </c>
      <c r="E143" s="17">
        <v>0.72731150308792825</v>
      </c>
      <c r="F143" s="17">
        <v>0.27267072466343806</v>
      </c>
      <c r="G143" s="13">
        <v>1</v>
      </c>
      <c r="H143" s="13">
        <v>2.6672749788177019</v>
      </c>
      <c r="I143" s="14">
        <v>11.631028449437531</v>
      </c>
      <c r="J143" s="16">
        <v>0.92520000000000002</v>
      </c>
      <c r="K143" s="16">
        <v>0.9244</v>
      </c>
      <c r="L143" s="13">
        <v>0.58330000000000004</v>
      </c>
      <c r="M143" s="13">
        <v>2.3300000000000001E-2</v>
      </c>
      <c r="N143" s="13">
        <v>6.6100000000000006E-2</v>
      </c>
      <c r="O143" s="13">
        <v>6.3899999999999998E-2</v>
      </c>
      <c r="P143" s="16">
        <v>0</v>
      </c>
      <c r="Q143" s="16">
        <v>0</v>
      </c>
      <c r="R143" s="16">
        <v>0</v>
      </c>
      <c r="S143" s="16">
        <f t="shared" si="4"/>
        <v>0</v>
      </c>
      <c r="T143" s="18">
        <v>0.91778373547810499</v>
      </c>
      <c r="U143" s="1">
        <v>6.2222222220000001</v>
      </c>
      <c r="V143" s="1">
        <f t="shared" si="5"/>
        <v>1.9771626925286485</v>
      </c>
      <c r="W143" s="26"/>
      <c r="X143">
        <v>4.4600000000000001E-2</v>
      </c>
      <c r="Y143" s="1">
        <v>1.6911</v>
      </c>
      <c r="Z143" s="1">
        <v>0.99</v>
      </c>
      <c r="AA143" s="1">
        <v>103909</v>
      </c>
      <c r="AB143" s="1">
        <v>1125</v>
      </c>
      <c r="AC143" s="29">
        <v>22008</v>
      </c>
    </row>
    <row r="144" spans="1:29">
      <c r="A144" s="12">
        <v>8</v>
      </c>
      <c r="B144" s="12" t="s">
        <v>145</v>
      </c>
      <c r="C144" s="12">
        <v>8675</v>
      </c>
      <c r="D144" s="12" t="s">
        <v>162</v>
      </c>
      <c r="E144" s="17">
        <v>0.94308771929824564</v>
      </c>
      <c r="F144" s="17">
        <v>5.6912280701754386E-2</v>
      </c>
      <c r="G144" s="13">
        <v>0.79555605180884326</v>
      </c>
      <c r="H144" s="13">
        <v>16.550492610837438</v>
      </c>
      <c r="I144" s="14">
        <v>9.5645823586732117</v>
      </c>
      <c r="J144" s="16">
        <v>0.5796</v>
      </c>
      <c r="K144" s="16">
        <v>0.5786</v>
      </c>
      <c r="L144" s="13">
        <v>0.20230000000000001</v>
      </c>
      <c r="M144" s="13">
        <v>1.83E-2</v>
      </c>
      <c r="N144" s="13">
        <v>0.14580000000000001</v>
      </c>
      <c r="O144" s="13">
        <v>0.10199999999999999</v>
      </c>
      <c r="P144" s="16">
        <v>1</v>
      </c>
      <c r="Q144" s="16">
        <v>1</v>
      </c>
      <c r="R144" s="16">
        <v>1</v>
      </c>
      <c r="S144" s="16">
        <f t="shared" si="4"/>
        <v>1</v>
      </c>
      <c r="T144" s="18">
        <v>0.50479846449136201</v>
      </c>
      <c r="U144" s="1">
        <v>0</v>
      </c>
      <c r="V144" s="1">
        <f t="shared" si="5"/>
        <v>0</v>
      </c>
      <c r="W144" s="25"/>
      <c r="X144">
        <v>2.93E-2</v>
      </c>
      <c r="Y144" s="1">
        <v>1.1547000000000001</v>
      </c>
      <c r="Z144" s="1">
        <v>0.76770000000000005</v>
      </c>
      <c r="AA144" s="1">
        <v>19147</v>
      </c>
      <c r="AB144" s="1">
        <v>142</v>
      </c>
      <c r="AC144" s="29">
        <v>4489</v>
      </c>
    </row>
    <row r="145" spans="1:29">
      <c r="A145" s="12">
        <v>8</v>
      </c>
      <c r="B145" s="12" t="s">
        <v>145</v>
      </c>
      <c r="C145" s="12">
        <v>8685</v>
      </c>
      <c r="D145" s="12" t="s">
        <v>163</v>
      </c>
      <c r="E145" s="17">
        <v>0.70204237449895013</v>
      </c>
      <c r="F145" s="17">
        <v>0.29792581281415026</v>
      </c>
      <c r="G145" s="13">
        <v>0.94246394627169972</v>
      </c>
      <c r="H145" s="13">
        <v>2.356181934657271</v>
      </c>
      <c r="I145" s="14">
        <v>10.355677200817162</v>
      </c>
      <c r="J145" s="16">
        <v>0.66200000000000003</v>
      </c>
      <c r="K145" s="16">
        <v>0.66190000000000004</v>
      </c>
      <c r="L145" s="13">
        <v>0.3553</v>
      </c>
      <c r="M145" s="13">
        <v>1.06E-2</v>
      </c>
      <c r="N145" s="13">
        <v>8.5500000000000007E-2</v>
      </c>
      <c r="O145" s="13">
        <v>6.1699999999999998E-2</v>
      </c>
      <c r="P145" s="16">
        <v>0.91400000000000003</v>
      </c>
      <c r="Q145" s="16">
        <v>0.77180000000000004</v>
      </c>
      <c r="R145" s="16">
        <v>0.91500000000000004</v>
      </c>
      <c r="S145" s="16">
        <f t="shared" si="4"/>
        <v>0.86693333333333333</v>
      </c>
      <c r="T145" s="18">
        <v>0.739331026528258</v>
      </c>
      <c r="U145" s="1">
        <v>0</v>
      </c>
      <c r="V145" s="1">
        <f t="shared" si="5"/>
        <v>0</v>
      </c>
      <c r="W145" s="26"/>
      <c r="X145">
        <v>4.2299999999999997E-2</v>
      </c>
      <c r="Y145" s="1">
        <v>3.5263</v>
      </c>
      <c r="Z145" s="1">
        <v>1.5099</v>
      </c>
      <c r="AA145" s="1">
        <v>36050</v>
      </c>
      <c r="AB145" s="1">
        <v>246</v>
      </c>
      <c r="AC145" s="29">
        <v>6847</v>
      </c>
    </row>
    <row r="146" spans="1:29">
      <c r="A146" s="12">
        <v>8</v>
      </c>
      <c r="B146" s="12" t="s">
        <v>145</v>
      </c>
      <c r="C146" s="12">
        <v>8758</v>
      </c>
      <c r="D146" s="12" t="s">
        <v>164</v>
      </c>
      <c r="E146" s="17">
        <v>0.58120964895567517</v>
      </c>
      <c r="F146" s="17">
        <v>0.41879035104432483</v>
      </c>
      <c r="G146" s="13">
        <v>0.93910990195575172</v>
      </c>
      <c r="H146" s="13">
        <v>1.3878244331742244</v>
      </c>
      <c r="I146" s="14">
        <v>13.369721768657145</v>
      </c>
      <c r="J146" s="16">
        <v>0.93179999999999996</v>
      </c>
      <c r="K146" s="16">
        <v>0.92930000000000001</v>
      </c>
      <c r="L146" s="13">
        <v>0.60129999999999995</v>
      </c>
      <c r="M146" s="13">
        <v>2.69E-2</v>
      </c>
      <c r="N146" s="13">
        <v>5.7799999999999997E-2</v>
      </c>
      <c r="O146" s="13">
        <v>4.2900000000000001E-2</v>
      </c>
      <c r="P146" s="16">
        <v>1</v>
      </c>
      <c r="Q146" s="16">
        <v>1</v>
      </c>
      <c r="R146" s="16">
        <v>1</v>
      </c>
      <c r="S146" s="16">
        <f t="shared" si="4"/>
        <v>1</v>
      </c>
      <c r="T146" s="18">
        <v>1</v>
      </c>
      <c r="U146" s="1">
        <v>11.43847487</v>
      </c>
      <c r="V146" s="1">
        <f t="shared" si="5"/>
        <v>2.5207944809205789</v>
      </c>
      <c r="W146" s="25"/>
      <c r="X146">
        <v>0.1019</v>
      </c>
      <c r="Y146" s="1">
        <v>40.4801</v>
      </c>
      <c r="Z146" s="1">
        <v>3.7252000000000001</v>
      </c>
      <c r="AA146" s="1">
        <v>710269</v>
      </c>
      <c r="AB146" s="1">
        <v>5770</v>
      </c>
      <c r="AC146" s="29">
        <v>136470</v>
      </c>
    </row>
    <row r="147" spans="1:29">
      <c r="A147" s="12">
        <v>8</v>
      </c>
      <c r="B147" s="12" t="s">
        <v>145</v>
      </c>
      <c r="C147" s="12">
        <v>8770</v>
      </c>
      <c r="D147" s="12" t="s">
        <v>165</v>
      </c>
      <c r="E147" s="17">
        <v>0.91411607292189334</v>
      </c>
      <c r="F147" s="17">
        <v>8.58839270781067E-2</v>
      </c>
      <c r="G147" s="13">
        <v>0.90693970420932879</v>
      </c>
      <c r="H147" s="13">
        <v>10.633268482490273</v>
      </c>
      <c r="I147" s="14">
        <v>9.3892394119688074</v>
      </c>
      <c r="J147" s="16">
        <v>0.80479999999999996</v>
      </c>
      <c r="K147" s="16">
        <v>0.80479999999999996</v>
      </c>
      <c r="L147" s="13">
        <v>0.42359999999999998</v>
      </c>
      <c r="M147" s="13">
        <v>6.1999999999999998E-3</v>
      </c>
      <c r="N147" s="13">
        <v>9.6799999999999997E-2</v>
      </c>
      <c r="O147" s="13">
        <v>6.93E-2</v>
      </c>
      <c r="P147" s="16">
        <v>0.88719999999999999</v>
      </c>
      <c r="Q147" s="16">
        <v>0.88719999999999999</v>
      </c>
      <c r="R147" s="16">
        <v>0.88719999999999999</v>
      </c>
      <c r="S147" s="16">
        <f t="shared" si="4"/>
        <v>0.88719999999999999</v>
      </c>
      <c r="T147" s="18">
        <v>0.79100529100529104</v>
      </c>
      <c r="U147" s="1">
        <v>0</v>
      </c>
      <c r="V147" s="1">
        <f t="shared" si="5"/>
        <v>0</v>
      </c>
      <c r="W147" s="26"/>
      <c r="X147">
        <v>2.0899999999999998E-2</v>
      </c>
      <c r="Y147" s="1">
        <v>1.5324</v>
      </c>
      <c r="Z147" s="1">
        <v>0.92920000000000003</v>
      </c>
      <c r="AA147" s="1">
        <v>14150</v>
      </c>
      <c r="AB147" s="1">
        <v>83</v>
      </c>
      <c r="AC147" s="29">
        <v>3109</v>
      </c>
    </row>
    <row r="148" spans="1:29">
      <c r="A148" s="12">
        <v>8</v>
      </c>
      <c r="B148" s="12" t="s">
        <v>145</v>
      </c>
      <c r="C148" s="12">
        <v>8832</v>
      </c>
      <c r="D148" s="12" t="s">
        <v>166</v>
      </c>
      <c r="E148" s="17">
        <v>0.78328368986370611</v>
      </c>
      <c r="F148" s="17">
        <v>0.21671631013629389</v>
      </c>
      <c r="G148" s="13">
        <v>0.575144058557857</v>
      </c>
      <c r="H148" s="13">
        <v>3.6128226477935055</v>
      </c>
      <c r="I148" s="14">
        <v>9.3128969603012752</v>
      </c>
      <c r="J148" s="16">
        <v>0.58130000000000004</v>
      </c>
      <c r="K148" s="16">
        <v>0.58130000000000004</v>
      </c>
      <c r="L148" s="13">
        <v>0.30180000000000001</v>
      </c>
      <c r="M148" s="13">
        <v>2.2800000000000001E-2</v>
      </c>
      <c r="N148" s="13">
        <v>6.1499999999999999E-2</v>
      </c>
      <c r="O148" s="13">
        <v>5.96E-2</v>
      </c>
      <c r="P148" s="16">
        <v>1</v>
      </c>
      <c r="Q148" s="16">
        <v>1</v>
      </c>
      <c r="R148" s="16">
        <v>1</v>
      </c>
      <c r="S148" s="16">
        <f t="shared" si="4"/>
        <v>1</v>
      </c>
      <c r="T148" s="18">
        <v>0.58191320154510295</v>
      </c>
      <c r="U148" s="1">
        <v>12.98701299</v>
      </c>
      <c r="V148" s="1">
        <f t="shared" si="5"/>
        <v>2.6381292555162608</v>
      </c>
      <c r="W148" s="25"/>
      <c r="X148">
        <v>2.58E-2</v>
      </c>
      <c r="Y148" s="1">
        <v>1.4907999999999999</v>
      </c>
      <c r="Z148" s="1">
        <v>0.91259999999999997</v>
      </c>
      <c r="AA148" s="1">
        <v>20017</v>
      </c>
      <c r="AB148" s="1">
        <v>77</v>
      </c>
      <c r="AC148" s="29">
        <v>3926</v>
      </c>
    </row>
    <row r="149" spans="1:29">
      <c r="A149" s="12">
        <v>8</v>
      </c>
      <c r="B149" s="12" t="s">
        <v>145</v>
      </c>
      <c r="C149" s="12">
        <v>8849</v>
      </c>
      <c r="D149" s="12" t="s">
        <v>167</v>
      </c>
      <c r="E149" s="17">
        <v>0.86809886809886805</v>
      </c>
      <c r="F149" s="17">
        <v>0.1319011319011319</v>
      </c>
      <c r="G149" s="13">
        <v>0.63234005258545134</v>
      </c>
      <c r="H149" s="13">
        <v>6.575678040244969</v>
      </c>
      <c r="I149" s="14">
        <v>9.066354521447801</v>
      </c>
      <c r="J149" s="16">
        <v>0.58260000000000001</v>
      </c>
      <c r="K149" s="16">
        <v>0.58260000000000001</v>
      </c>
      <c r="L149" s="13">
        <v>0.3488</v>
      </c>
      <c r="M149" s="13">
        <v>1.8200000000000001E-2</v>
      </c>
      <c r="N149" s="13">
        <v>5.0599999999999999E-2</v>
      </c>
      <c r="O149" s="13">
        <v>5.1999999999999998E-2</v>
      </c>
      <c r="P149" s="16">
        <v>0.98</v>
      </c>
      <c r="Q149" s="16">
        <v>0.65040000000000009</v>
      </c>
      <c r="R149" s="16">
        <v>0.63939999999999997</v>
      </c>
      <c r="S149" s="16">
        <f t="shared" si="4"/>
        <v>0.75660000000000005</v>
      </c>
      <c r="T149" s="18">
        <v>0.31840796019900497</v>
      </c>
      <c r="U149" s="1">
        <v>24.09638554</v>
      </c>
      <c r="V149" s="1">
        <f t="shared" si="5"/>
        <v>3.2227238333779602</v>
      </c>
      <c r="W149" s="26"/>
      <c r="X149">
        <v>1.7100000000000001E-2</v>
      </c>
      <c r="Y149" s="1">
        <v>0.77539999999999998</v>
      </c>
      <c r="Z149" s="1">
        <v>0.57399999999999995</v>
      </c>
      <c r="AA149" s="1">
        <v>15033</v>
      </c>
      <c r="AB149" s="1">
        <v>83</v>
      </c>
      <c r="AC149" s="29">
        <v>2891</v>
      </c>
    </row>
    <row r="150" spans="1:29" ht="25.5">
      <c r="A150" s="12">
        <v>11</v>
      </c>
      <c r="B150" s="12" t="s">
        <v>168</v>
      </c>
      <c r="C150" s="12">
        <v>11001</v>
      </c>
      <c r="D150" s="12" t="s">
        <v>168</v>
      </c>
      <c r="E150" s="17">
        <v>0.26711503028066164</v>
      </c>
      <c r="F150" s="17">
        <v>0.73288322051151089</v>
      </c>
      <c r="G150" s="13">
        <v>1</v>
      </c>
      <c r="H150" s="13">
        <v>0.36447141545405665</v>
      </c>
      <c r="I150" s="14">
        <v>15.895404997070585</v>
      </c>
      <c r="J150" s="16">
        <v>0.91020000000000001</v>
      </c>
      <c r="K150" s="16">
        <v>0.90600000000000003</v>
      </c>
      <c r="L150" s="13">
        <v>0.6532</v>
      </c>
      <c r="M150" s="13">
        <v>2.4899999999999999E-2</v>
      </c>
      <c r="N150" s="13">
        <v>8.1600000000000006E-2</v>
      </c>
      <c r="O150" s="13">
        <v>6.9199999999999998E-2</v>
      </c>
      <c r="P150" s="16">
        <v>0.98970000000000002</v>
      </c>
      <c r="Q150" s="16">
        <v>0.98849999999999993</v>
      </c>
      <c r="R150" s="16"/>
      <c r="S150" s="16">
        <f t="shared" si="4"/>
        <v>0.65939999999999999</v>
      </c>
      <c r="T150" s="18">
        <v>0.49353484466834502</v>
      </c>
      <c r="U150" s="1">
        <v>9.3383562369999993</v>
      </c>
      <c r="V150" s="1">
        <f t="shared" si="5"/>
        <v>2.3358608851664147</v>
      </c>
      <c r="W150" s="25"/>
      <c r="X150">
        <v>0.86799999999999999</v>
      </c>
      <c r="Y150" s="1">
        <v>16.2041</v>
      </c>
      <c r="Z150" s="1">
        <v>2.8451</v>
      </c>
      <c r="AA150" s="1">
        <v>7918660</v>
      </c>
      <c r="AB150" s="1">
        <v>56541</v>
      </c>
      <c r="AC150" s="29">
        <v>1218559</v>
      </c>
    </row>
    <row r="151" spans="1:29">
      <c r="A151" s="12">
        <v>13</v>
      </c>
      <c r="B151" s="12" t="s">
        <v>169</v>
      </c>
      <c r="C151" s="12">
        <v>13001</v>
      </c>
      <c r="D151" s="12" t="s">
        <v>178</v>
      </c>
      <c r="E151" s="17">
        <v>0.58866705367102001</v>
      </c>
      <c r="F151" s="17">
        <v>0.41131698999765975</v>
      </c>
      <c r="G151" s="13">
        <v>1</v>
      </c>
      <c r="H151" s="13">
        <v>1.4311734757967385</v>
      </c>
      <c r="I151" s="14">
        <v>14.090178057063493</v>
      </c>
      <c r="J151" s="16">
        <v>1.0916999999999999</v>
      </c>
      <c r="K151" s="16">
        <v>1.0894999999999999</v>
      </c>
      <c r="L151" s="13">
        <v>0.63300000000000001</v>
      </c>
      <c r="M151" s="13">
        <v>3.3300000000000003E-2</v>
      </c>
      <c r="N151" s="13">
        <v>7.6100000000000001E-2</v>
      </c>
      <c r="O151" s="13">
        <v>7.1300000000000002E-2</v>
      </c>
      <c r="P151" s="16">
        <v>0.49520000000000003</v>
      </c>
      <c r="Q151" s="16">
        <v>0.47270000000000001</v>
      </c>
      <c r="R151" s="16"/>
      <c r="S151" s="16">
        <f t="shared" si="4"/>
        <v>0.32263333333333333</v>
      </c>
      <c r="T151" s="18">
        <v>0.50827626976698292</v>
      </c>
      <c r="U151" s="1">
        <v>11.82580903</v>
      </c>
      <c r="V151" s="1">
        <f t="shared" si="5"/>
        <v>2.5514594713284398</v>
      </c>
      <c r="W151" s="26"/>
      <c r="X151">
        <v>0.58819999999999995</v>
      </c>
      <c r="Y151" s="1">
        <v>13.7652</v>
      </c>
      <c r="Z151" s="1">
        <v>2.6922999999999999</v>
      </c>
      <c r="AA151" s="1">
        <v>1010408</v>
      </c>
      <c r="AB151" s="1">
        <v>12515</v>
      </c>
      <c r="AC151" s="29">
        <v>200035</v>
      </c>
    </row>
    <row r="152" spans="1:29">
      <c r="A152" s="12">
        <v>13</v>
      </c>
      <c r="B152" s="12" t="s">
        <v>169</v>
      </c>
      <c r="C152" s="12">
        <v>13006</v>
      </c>
      <c r="D152" s="12" t="s">
        <v>170</v>
      </c>
      <c r="E152" s="17">
        <v>0.9589802726411597</v>
      </c>
      <c r="F152" s="17">
        <v>4.1019727358840248E-2</v>
      </c>
      <c r="G152" s="13">
        <v>0.89052299567226578</v>
      </c>
      <c r="H152" s="13">
        <v>23.355065195586761</v>
      </c>
      <c r="I152" s="14">
        <v>10.09749061410392</v>
      </c>
      <c r="J152" s="16">
        <v>0.94669999999999999</v>
      </c>
      <c r="K152" s="16">
        <v>0.94669999999999999</v>
      </c>
      <c r="L152" s="13">
        <v>0.45810000000000001</v>
      </c>
      <c r="M152" s="13">
        <v>3.9399999999999998E-2</v>
      </c>
      <c r="N152" s="13">
        <v>6.0100000000000001E-2</v>
      </c>
      <c r="O152" s="13">
        <v>3.5099999999999999E-2</v>
      </c>
      <c r="P152" s="16">
        <v>0.45419999999999999</v>
      </c>
      <c r="Q152" s="16">
        <v>0.45419999999999999</v>
      </c>
      <c r="R152" s="16">
        <v>0.45419999999999999</v>
      </c>
      <c r="S152" s="16">
        <f t="shared" si="4"/>
        <v>0.45419999999999999</v>
      </c>
      <c r="T152" s="18">
        <v>0.290337353075866</v>
      </c>
      <c r="U152" s="1">
        <v>3.8759689919999998</v>
      </c>
      <c r="V152" s="1">
        <f t="shared" si="5"/>
        <v>1.5843188522878939</v>
      </c>
      <c r="W152" s="26"/>
      <c r="X152">
        <v>1.4200000000000001E-2</v>
      </c>
      <c r="Y152" s="1">
        <v>4.3900000000000002E-2</v>
      </c>
      <c r="Z152" s="1">
        <v>4.2999999999999997E-2</v>
      </c>
      <c r="AA152" s="1">
        <v>27507</v>
      </c>
      <c r="AB152" s="1">
        <v>258</v>
      </c>
      <c r="AC152" s="29">
        <v>6641</v>
      </c>
    </row>
    <row r="153" spans="1:29">
      <c r="A153" s="12">
        <v>13</v>
      </c>
      <c r="B153" s="12" t="s">
        <v>169</v>
      </c>
      <c r="C153" s="12">
        <v>13030</v>
      </c>
      <c r="D153" s="12" t="s">
        <v>171</v>
      </c>
      <c r="E153" s="17">
        <v>0.94335954758328178</v>
      </c>
      <c r="F153" s="17">
        <v>5.6640452416718209E-2</v>
      </c>
      <c r="G153" s="13">
        <v>0.92937505132627085</v>
      </c>
      <c r="H153" s="13">
        <v>16.629283489096572</v>
      </c>
      <c r="I153" s="14">
        <v>9.3341496577024685</v>
      </c>
      <c r="J153" s="16">
        <v>0.72589999999999999</v>
      </c>
      <c r="K153" s="16">
        <v>0.72589999999999999</v>
      </c>
      <c r="L153" s="13">
        <v>0.26050000000000001</v>
      </c>
      <c r="M153" s="13">
        <v>3.9100000000000003E-2</v>
      </c>
      <c r="N153" s="13">
        <v>0.10970000000000001</v>
      </c>
      <c r="O153" s="13">
        <v>0.1053</v>
      </c>
      <c r="P153" s="16">
        <v>0.63639999999999997</v>
      </c>
      <c r="Q153" s="16">
        <v>0.20780000000000001</v>
      </c>
      <c r="R153" s="16">
        <v>0.3574</v>
      </c>
      <c r="S153" s="16">
        <f t="shared" si="4"/>
        <v>0.40053333333333335</v>
      </c>
      <c r="T153" s="18">
        <v>0.17427385892116098</v>
      </c>
      <c r="U153" s="1">
        <v>0</v>
      </c>
      <c r="V153" s="1">
        <f t="shared" si="5"/>
        <v>0</v>
      </c>
      <c r="W153" s="25"/>
      <c r="X153">
        <v>1.67E-2</v>
      </c>
      <c r="Y153" s="1">
        <v>5.0900000000000001E-2</v>
      </c>
      <c r="Z153" s="1">
        <v>4.9700000000000001E-2</v>
      </c>
      <c r="AA153" s="1">
        <v>11401</v>
      </c>
      <c r="AB153" s="1">
        <v>147</v>
      </c>
      <c r="AC153" s="29">
        <v>3175</v>
      </c>
    </row>
    <row r="154" spans="1:29">
      <c r="A154" s="12">
        <v>13</v>
      </c>
      <c r="B154" s="12" t="s">
        <v>169</v>
      </c>
      <c r="C154" s="12">
        <v>13042</v>
      </c>
      <c r="D154" s="12" t="s">
        <v>172</v>
      </c>
      <c r="E154" s="17">
        <v>0.93941375177073116</v>
      </c>
      <c r="F154" s="17">
        <v>6.0586248229268821E-2</v>
      </c>
      <c r="G154" s="13">
        <v>1</v>
      </c>
      <c r="H154" s="13">
        <v>15.477558348294435</v>
      </c>
      <c r="I154" s="14">
        <v>9.1245645949547782</v>
      </c>
      <c r="J154" s="16">
        <v>0.97360000000000002</v>
      </c>
      <c r="K154" s="16">
        <v>0.97360000000000002</v>
      </c>
      <c r="L154" s="13">
        <v>0.40510000000000002</v>
      </c>
      <c r="M154" s="13">
        <v>2.4299999999999999E-2</v>
      </c>
      <c r="N154" s="13">
        <v>0.1105</v>
      </c>
      <c r="O154" s="13">
        <v>2.58E-2</v>
      </c>
      <c r="P154" s="16">
        <v>1</v>
      </c>
      <c r="Q154" s="16">
        <v>1</v>
      </c>
      <c r="R154" s="16">
        <v>1</v>
      </c>
      <c r="S154" s="16">
        <f t="shared" si="4"/>
        <v>1</v>
      </c>
      <c r="T154" s="18">
        <v>0.27838033261026696</v>
      </c>
      <c r="U154" s="1">
        <v>8.9285714289999998</v>
      </c>
      <c r="V154" s="1">
        <f t="shared" si="5"/>
        <v>2.2954166035585986</v>
      </c>
      <c r="W154" s="26"/>
      <c r="X154">
        <v>1.6E-2</v>
      </c>
      <c r="Y154" s="1">
        <v>0.1052</v>
      </c>
      <c r="Z154" s="1">
        <v>0.1</v>
      </c>
      <c r="AA154" s="1">
        <v>8533</v>
      </c>
      <c r="AB154" s="1">
        <v>112</v>
      </c>
      <c r="AC154" s="29">
        <v>2187</v>
      </c>
    </row>
    <row r="155" spans="1:29">
      <c r="A155" s="12">
        <v>13</v>
      </c>
      <c r="B155" s="12" t="s">
        <v>169</v>
      </c>
      <c r="C155" s="12">
        <v>13052</v>
      </c>
      <c r="D155" s="12" t="s">
        <v>173</v>
      </c>
      <c r="E155" s="17">
        <v>0.84994296238266054</v>
      </c>
      <c r="F155" s="17">
        <v>0.15002954960898307</v>
      </c>
      <c r="G155" s="13">
        <v>0.95741825120073687</v>
      </c>
      <c r="H155" s="13">
        <v>5.664651461024091</v>
      </c>
      <c r="I155" s="14">
        <v>11.194921632632058</v>
      </c>
      <c r="J155" s="16">
        <v>0.93259999999999998</v>
      </c>
      <c r="K155" s="16">
        <v>0.93149999999999999</v>
      </c>
      <c r="L155" s="13">
        <v>0.5675</v>
      </c>
      <c r="M155" s="13">
        <v>2.8400000000000002E-2</v>
      </c>
      <c r="N155" s="13">
        <v>7.1999999999999995E-2</v>
      </c>
      <c r="O155" s="13">
        <v>5.1999999999999998E-2</v>
      </c>
      <c r="P155" s="16">
        <v>0.85510000000000008</v>
      </c>
      <c r="Q155" s="16">
        <v>0</v>
      </c>
      <c r="R155" s="16">
        <v>3.8E-3</v>
      </c>
      <c r="S155" s="16">
        <f t="shared" si="4"/>
        <v>0.28630000000000005</v>
      </c>
      <c r="T155" s="18">
        <v>0.25695075413410801</v>
      </c>
      <c r="U155" s="1">
        <v>14.01273885</v>
      </c>
      <c r="V155" s="1">
        <f t="shared" si="5"/>
        <v>2.7088990973544758</v>
      </c>
      <c r="W155" s="25"/>
      <c r="X155">
        <v>4.07E-2</v>
      </c>
      <c r="Y155" s="1">
        <v>0.85570000000000002</v>
      </c>
      <c r="Z155" s="1">
        <v>0.61829999999999996</v>
      </c>
      <c r="AA155" s="1">
        <v>73374</v>
      </c>
      <c r="AB155" s="1">
        <v>785</v>
      </c>
      <c r="AC155" s="29">
        <v>16148</v>
      </c>
    </row>
    <row r="156" spans="1:29">
      <c r="A156" s="12">
        <v>13</v>
      </c>
      <c r="B156" s="12" t="s">
        <v>169</v>
      </c>
      <c r="C156" s="12">
        <v>13062</v>
      </c>
      <c r="D156" s="12" t="s">
        <v>174</v>
      </c>
      <c r="E156" s="17">
        <v>0.92079207920792083</v>
      </c>
      <c r="F156" s="17">
        <v>7.9207920792079209E-2</v>
      </c>
      <c r="G156" s="13">
        <v>1</v>
      </c>
      <c r="H156" s="13">
        <v>11.610191082802547</v>
      </c>
      <c r="I156" s="14">
        <v>9.2001890209198081</v>
      </c>
      <c r="J156" s="16">
        <v>0.88260000000000005</v>
      </c>
      <c r="K156" s="16">
        <v>0.88260000000000005</v>
      </c>
      <c r="L156" s="13">
        <v>0.33889999999999998</v>
      </c>
      <c r="M156" s="13">
        <v>4.87E-2</v>
      </c>
      <c r="N156" s="13">
        <v>9.7900000000000001E-2</v>
      </c>
      <c r="O156" s="13">
        <v>6.88E-2</v>
      </c>
      <c r="P156" s="16">
        <v>0.83189999999999997</v>
      </c>
      <c r="Q156" s="16">
        <v>0.30579999999999996</v>
      </c>
      <c r="R156" s="16">
        <v>0.83189999999999997</v>
      </c>
      <c r="S156" s="16">
        <f t="shared" si="4"/>
        <v>0.6565333333333333</v>
      </c>
      <c r="T156" s="18">
        <v>0.61844484629294694</v>
      </c>
      <c r="U156" s="1">
        <v>27.777777780000001</v>
      </c>
      <c r="V156" s="1">
        <f t="shared" si="5"/>
        <v>3.3596034844405387</v>
      </c>
      <c r="W156" s="26"/>
      <c r="X156">
        <v>1.4E-2</v>
      </c>
      <c r="Y156" s="1">
        <v>0.42499999999999999</v>
      </c>
      <c r="Z156" s="1">
        <v>0.35420000000000001</v>
      </c>
      <c r="AA156" s="1">
        <v>8531</v>
      </c>
      <c r="AB156" s="1">
        <v>72</v>
      </c>
      <c r="AC156" s="29">
        <v>1904</v>
      </c>
    </row>
    <row r="157" spans="1:29">
      <c r="A157" s="12">
        <v>13</v>
      </c>
      <c r="B157" s="12" t="s">
        <v>169</v>
      </c>
      <c r="C157" s="12">
        <v>13074</v>
      </c>
      <c r="D157" s="12" t="s">
        <v>175</v>
      </c>
      <c r="E157" s="17">
        <v>0.93878222709818981</v>
      </c>
      <c r="F157" s="17">
        <v>6.12177729018102E-2</v>
      </c>
      <c r="G157" s="13">
        <v>1</v>
      </c>
      <c r="H157" s="13">
        <v>15.321396598030439</v>
      </c>
      <c r="I157" s="14">
        <v>9.8108787208034656</v>
      </c>
      <c r="J157" s="16">
        <v>1.0015000000000001</v>
      </c>
      <c r="K157" s="16">
        <v>1.0015000000000001</v>
      </c>
      <c r="L157" s="13">
        <v>0.33229999999999998</v>
      </c>
      <c r="M157" s="13">
        <v>5.7599999999999998E-2</v>
      </c>
      <c r="N157" s="13">
        <v>0.1203</v>
      </c>
      <c r="O157" s="13">
        <v>6.3600000000000004E-2</v>
      </c>
      <c r="P157" s="16">
        <v>0.55610000000000004</v>
      </c>
      <c r="Q157" s="16">
        <v>0.25629999999999997</v>
      </c>
      <c r="R157" s="16">
        <v>0.43359999999999999</v>
      </c>
      <c r="S157" s="16">
        <f t="shared" si="4"/>
        <v>0.41533333333333333</v>
      </c>
      <c r="T157" s="18">
        <v>0.41921768707482898</v>
      </c>
      <c r="U157" s="1">
        <v>3.90625</v>
      </c>
      <c r="V157" s="1">
        <f t="shared" si="5"/>
        <v>1.5905099025485816</v>
      </c>
      <c r="W157" s="25"/>
      <c r="X157">
        <v>1.34E-2</v>
      </c>
      <c r="Y157" s="1">
        <v>7.7799999999999994E-2</v>
      </c>
      <c r="Z157" s="1">
        <v>7.4999999999999997E-2</v>
      </c>
      <c r="AA157" s="1">
        <v>17222</v>
      </c>
      <c r="AB157" s="1">
        <v>256</v>
      </c>
      <c r="AC157" s="29">
        <v>4698</v>
      </c>
    </row>
    <row r="158" spans="1:29">
      <c r="A158" s="12">
        <v>13</v>
      </c>
      <c r="B158" s="12" t="s">
        <v>169</v>
      </c>
      <c r="C158" s="12">
        <v>13140</v>
      </c>
      <c r="D158" s="12" t="s">
        <v>176</v>
      </c>
      <c r="E158" s="17">
        <v>0.90996429491662678</v>
      </c>
      <c r="F158" s="17">
        <v>8.9998895719070937E-2</v>
      </c>
      <c r="G158" s="13">
        <v>1</v>
      </c>
      <c r="H158" s="13">
        <v>10.106704824202779</v>
      </c>
      <c r="I158" s="14">
        <v>10.209795089111074</v>
      </c>
      <c r="J158" s="16">
        <v>0.96879999999999999</v>
      </c>
      <c r="K158" s="16">
        <v>0.96840000000000004</v>
      </c>
      <c r="L158" s="13">
        <v>0.47720000000000001</v>
      </c>
      <c r="M158" s="13">
        <v>2.1100000000000001E-2</v>
      </c>
      <c r="N158" s="13">
        <v>0.12640000000000001</v>
      </c>
      <c r="O158" s="13">
        <v>3.4000000000000002E-2</v>
      </c>
      <c r="P158" s="16">
        <v>1</v>
      </c>
      <c r="Q158" s="16">
        <v>0</v>
      </c>
      <c r="R158" s="16">
        <v>1</v>
      </c>
      <c r="S158" s="16">
        <f t="shared" si="4"/>
        <v>0.66666666666666663</v>
      </c>
      <c r="T158" s="18">
        <v>0.48132635253054096</v>
      </c>
      <c r="U158" s="1">
        <v>4.1322314049999997</v>
      </c>
      <c r="V158" s="1">
        <f t="shared" si="5"/>
        <v>1.6355405363447892</v>
      </c>
      <c r="W158" s="26"/>
      <c r="X158">
        <v>6.6299999999999998E-2</v>
      </c>
      <c r="Y158" s="1">
        <v>0.42220000000000002</v>
      </c>
      <c r="Z158" s="1">
        <v>0.35220000000000001</v>
      </c>
      <c r="AA158" s="1">
        <v>24810</v>
      </c>
      <c r="AB158" s="1">
        <v>242</v>
      </c>
      <c r="AC158" s="29">
        <v>5968</v>
      </c>
    </row>
    <row r="159" spans="1:29">
      <c r="A159" s="12">
        <v>13</v>
      </c>
      <c r="B159" s="12" t="s">
        <v>169</v>
      </c>
      <c r="C159" s="12">
        <v>13160</v>
      </c>
      <c r="D159" s="12" t="s">
        <v>177</v>
      </c>
      <c r="E159" s="17">
        <v>0.84762134750060369</v>
      </c>
      <c r="F159" s="17">
        <v>0.15237865249939628</v>
      </c>
      <c r="G159" s="13">
        <v>0.91000988902318425</v>
      </c>
      <c r="H159" s="13">
        <v>5.5581947743467932</v>
      </c>
      <c r="I159" s="14">
        <v>9.0219605005982633</v>
      </c>
      <c r="J159" s="16">
        <v>0.95509999999999995</v>
      </c>
      <c r="K159" s="16">
        <v>0.95509999999999995</v>
      </c>
      <c r="L159" s="13">
        <v>0.38300000000000001</v>
      </c>
      <c r="M159" s="13">
        <v>4.0899999999999999E-2</v>
      </c>
      <c r="N159" s="13">
        <v>0.1007</v>
      </c>
      <c r="O159" s="13">
        <v>5.9900000000000002E-2</v>
      </c>
      <c r="P159" s="16">
        <v>0.50549999999999995</v>
      </c>
      <c r="Q159" s="16">
        <v>0.4844</v>
      </c>
      <c r="R159" s="16">
        <v>0.58409999999999995</v>
      </c>
      <c r="S159" s="16">
        <f t="shared" si="4"/>
        <v>0.52466666666666661</v>
      </c>
      <c r="T159" s="18">
        <v>0.41043956043956004</v>
      </c>
      <c r="U159" s="1">
        <v>11.9047619</v>
      </c>
      <c r="V159" s="1">
        <f t="shared" si="5"/>
        <v>2.5575963827872741</v>
      </c>
      <c r="W159" s="25"/>
      <c r="X159">
        <v>0.38090000000000002</v>
      </c>
      <c r="Y159" s="1">
        <v>0.12479999999999999</v>
      </c>
      <c r="Z159" s="1">
        <v>0.1176</v>
      </c>
      <c r="AA159" s="1">
        <v>8825</v>
      </c>
      <c r="AB159" s="1">
        <v>84</v>
      </c>
      <c r="AC159" s="29">
        <v>2086</v>
      </c>
    </row>
    <row r="160" spans="1:29">
      <c r="A160" s="12">
        <v>13</v>
      </c>
      <c r="B160" s="12" t="s">
        <v>169</v>
      </c>
      <c r="C160" s="12">
        <v>13188</v>
      </c>
      <c r="D160" s="12" t="s">
        <v>179</v>
      </c>
      <c r="E160" s="17">
        <v>0.91454461273893772</v>
      </c>
      <c r="F160" s="17">
        <v>8.5455387261062235E-2</v>
      </c>
      <c r="G160" s="13">
        <v>1</v>
      </c>
      <c r="H160" s="13">
        <v>10.693735498839906</v>
      </c>
      <c r="I160" s="14">
        <v>9.6237736497335238</v>
      </c>
      <c r="J160" s="16">
        <v>0.83389999999999997</v>
      </c>
      <c r="K160" s="16">
        <v>0.83389999999999997</v>
      </c>
      <c r="L160" s="13">
        <v>0.39119999999999999</v>
      </c>
      <c r="M160" s="13">
        <v>5.1700000000000003E-2</v>
      </c>
      <c r="N160" s="13">
        <v>9.5799999999999996E-2</v>
      </c>
      <c r="O160" s="13">
        <v>5.8599999999999999E-2</v>
      </c>
      <c r="P160" s="16">
        <v>0.92400000000000004</v>
      </c>
      <c r="Q160" s="16">
        <v>0</v>
      </c>
      <c r="R160" s="16">
        <v>0.77290000000000003</v>
      </c>
      <c r="S160" s="16">
        <f t="shared" si="4"/>
        <v>0.56563333333333332</v>
      </c>
      <c r="T160" s="18">
        <v>0.49813014210919904</v>
      </c>
      <c r="U160" s="1">
        <v>7.2992700729999997</v>
      </c>
      <c r="V160" s="1">
        <f t="shared" si="5"/>
        <v>2.1161675679232905</v>
      </c>
      <c r="W160" s="25"/>
      <c r="X160">
        <v>4.3299999999999998E-2</v>
      </c>
      <c r="Y160" s="1">
        <v>1.1084000000000001</v>
      </c>
      <c r="Z160" s="1">
        <v>0.74590000000000001</v>
      </c>
      <c r="AA160" s="1">
        <v>15697</v>
      </c>
      <c r="AB160" s="1">
        <v>137</v>
      </c>
      <c r="AC160" s="29">
        <v>3961</v>
      </c>
    </row>
    <row r="161" spans="1:29">
      <c r="A161" s="12">
        <v>13</v>
      </c>
      <c r="B161" s="12" t="s">
        <v>169</v>
      </c>
      <c r="C161" s="12">
        <v>13212</v>
      </c>
      <c r="D161" s="12" t="s">
        <v>181</v>
      </c>
      <c r="E161" s="17">
        <v>0.92618648799553327</v>
      </c>
      <c r="F161" s="17">
        <v>7.3813512004466772E-2</v>
      </c>
      <c r="G161" s="13">
        <v>1</v>
      </c>
      <c r="H161" s="13">
        <v>12.53817082388511</v>
      </c>
      <c r="I161" s="14">
        <v>9.7931703282252585</v>
      </c>
      <c r="J161" s="16">
        <v>0.93969999999999998</v>
      </c>
      <c r="K161" s="16">
        <v>0.93969999999999998</v>
      </c>
      <c r="L161" s="13">
        <v>0.47849999999999998</v>
      </c>
      <c r="M161" s="13">
        <v>1.47E-2</v>
      </c>
      <c r="N161" s="13">
        <v>0.1021</v>
      </c>
      <c r="O161" s="13">
        <v>7.9899999999999999E-2</v>
      </c>
      <c r="P161" s="16">
        <v>0.61170000000000002</v>
      </c>
      <c r="Q161" s="16">
        <v>0.18710000000000002</v>
      </c>
      <c r="R161" s="16">
        <v>0.44179999999999997</v>
      </c>
      <c r="S161" s="16">
        <f t="shared" si="4"/>
        <v>0.41353333333333336</v>
      </c>
      <c r="T161" s="18">
        <v>0.46829379562043699</v>
      </c>
      <c r="U161" s="1">
        <v>24.390243900000002</v>
      </c>
      <c r="V161" s="1">
        <f t="shared" si="5"/>
        <v>3.2343650018145995</v>
      </c>
      <c r="W161" s="25"/>
      <c r="X161">
        <v>1.9300000000000001E-2</v>
      </c>
      <c r="Y161" s="1">
        <v>0.14680000000000001</v>
      </c>
      <c r="Z161" s="1">
        <v>0.13689999999999999</v>
      </c>
      <c r="AA161" s="1">
        <v>18180</v>
      </c>
      <c r="AB161" s="1">
        <v>123</v>
      </c>
      <c r="AC161" s="29">
        <v>4169</v>
      </c>
    </row>
    <row r="162" spans="1:29">
      <c r="A162" s="12">
        <v>13</v>
      </c>
      <c r="B162" s="12" t="s">
        <v>169</v>
      </c>
      <c r="C162" s="12">
        <v>13222</v>
      </c>
      <c r="D162" s="12" t="s">
        <v>180</v>
      </c>
      <c r="E162" s="17">
        <v>0.94247985675917634</v>
      </c>
      <c r="F162" s="17">
        <v>5.7520143240823635E-2</v>
      </c>
      <c r="G162" s="13">
        <v>0.82618343195266275</v>
      </c>
      <c r="H162" s="13">
        <v>16.3639896373057</v>
      </c>
      <c r="I162" s="14">
        <v>9.5033830506700596</v>
      </c>
      <c r="J162" s="16">
        <v>0.81520000000000004</v>
      </c>
      <c r="K162" s="16">
        <v>0.81520000000000004</v>
      </c>
      <c r="L162" s="13">
        <v>0.36659999999999998</v>
      </c>
      <c r="M162" s="13">
        <v>3.1300000000000001E-2</v>
      </c>
      <c r="N162" s="13">
        <v>9.1300000000000006E-2</v>
      </c>
      <c r="O162" s="13">
        <v>4.2700000000000002E-2</v>
      </c>
      <c r="P162" s="16">
        <v>0.82450000000000001</v>
      </c>
      <c r="Q162" s="16">
        <v>0</v>
      </c>
      <c r="R162" s="16">
        <v>0.79720000000000002</v>
      </c>
      <c r="S162" s="16">
        <f t="shared" si="4"/>
        <v>0.54056666666666675</v>
      </c>
      <c r="T162" s="18">
        <v>0.27706057596822198</v>
      </c>
      <c r="U162" s="1">
        <v>11.83431953</v>
      </c>
      <c r="V162" s="1">
        <f t="shared" si="5"/>
        <v>2.5521227961665947</v>
      </c>
      <c r="W162" s="26"/>
      <c r="X162">
        <v>6.1699999999999998E-2</v>
      </c>
      <c r="Y162" s="1">
        <v>1.2352000000000001</v>
      </c>
      <c r="Z162" s="1">
        <v>0.80430000000000001</v>
      </c>
      <c r="AA162" s="1">
        <v>15919</v>
      </c>
      <c r="AB162" s="1">
        <v>169</v>
      </c>
      <c r="AC162" s="29">
        <v>3799</v>
      </c>
    </row>
    <row r="163" spans="1:29" ht="25.5">
      <c r="A163" s="12">
        <v>13</v>
      </c>
      <c r="B163" s="12" t="s">
        <v>169</v>
      </c>
      <c r="C163" s="12">
        <v>13244</v>
      </c>
      <c r="D163" s="12" t="s">
        <v>182</v>
      </c>
      <c r="E163" s="17">
        <v>0.88818681318681314</v>
      </c>
      <c r="F163" s="17">
        <v>0.11180173992673993</v>
      </c>
      <c r="G163" s="13">
        <v>1</v>
      </c>
      <c r="H163" s="13">
        <v>7.9434889434889433</v>
      </c>
      <c r="I163" s="14">
        <v>11.377804237799664</v>
      </c>
      <c r="J163" s="16">
        <v>0.9889</v>
      </c>
      <c r="K163" s="16">
        <v>0.98870000000000002</v>
      </c>
      <c r="L163" s="13">
        <v>0.54459999999999997</v>
      </c>
      <c r="M163" s="13">
        <v>3.5499999999999997E-2</v>
      </c>
      <c r="N163" s="13">
        <v>9.1499999999999998E-2</v>
      </c>
      <c r="O163" s="13">
        <v>7.7399999999999997E-2</v>
      </c>
      <c r="P163" s="16">
        <v>0.79879999999999995</v>
      </c>
      <c r="Q163" s="16">
        <v>0</v>
      </c>
      <c r="R163" s="16">
        <v>0.72530000000000006</v>
      </c>
      <c r="S163" s="16">
        <f t="shared" si="4"/>
        <v>0.50803333333333334</v>
      </c>
      <c r="T163" s="18">
        <v>0.163197586726998</v>
      </c>
      <c r="U163" s="1">
        <v>12.850467289999999</v>
      </c>
      <c r="V163" s="1">
        <f t="shared" si="5"/>
        <v>2.6283189714143691</v>
      </c>
      <c r="W163" s="26"/>
      <c r="X163">
        <v>3.1300000000000001E-2</v>
      </c>
      <c r="Y163" s="1">
        <v>0.27460000000000001</v>
      </c>
      <c r="Z163" s="1">
        <v>0.24260000000000001</v>
      </c>
      <c r="AA163" s="1">
        <v>76463</v>
      </c>
      <c r="AB163" s="1">
        <v>856</v>
      </c>
      <c r="AC163" s="29">
        <v>17056</v>
      </c>
    </row>
    <row r="164" spans="1:29">
      <c r="A164" s="12">
        <v>13</v>
      </c>
      <c r="B164" s="12" t="s">
        <v>169</v>
      </c>
      <c r="C164" s="12">
        <v>13248</v>
      </c>
      <c r="D164" s="12" t="s">
        <v>183</v>
      </c>
      <c r="E164" s="17">
        <v>0.90143782241246839</v>
      </c>
      <c r="F164" s="17">
        <v>9.8562177587531552E-2</v>
      </c>
      <c r="G164" s="13">
        <v>0.96097458074042819</v>
      </c>
      <c r="H164" s="13">
        <v>9.1357063403781975</v>
      </c>
      <c r="I164" s="14">
        <v>9.1173475051270181</v>
      </c>
      <c r="J164" s="16">
        <v>0.78849999999999998</v>
      </c>
      <c r="K164" s="16">
        <v>0.78849999999999998</v>
      </c>
      <c r="L164" s="13">
        <v>0.38969999999999999</v>
      </c>
      <c r="M164" s="13">
        <v>3.1899999999999998E-2</v>
      </c>
      <c r="N164" s="13">
        <v>9.2200000000000004E-2</v>
      </c>
      <c r="O164" s="13">
        <v>5.8200000000000002E-2</v>
      </c>
      <c r="P164" s="16">
        <v>0.70540000000000003</v>
      </c>
      <c r="Q164" s="16">
        <v>0</v>
      </c>
      <c r="R164" s="16">
        <v>0.43259999999999998</v>
      </c>
      <c r="S164" s="16">
        <f t="shared" si="4"/>
        <v>0.3793333333333333</v>
      </c>
      <c r="T164" s="18">
        <v>0.37186223000583701</v>
      </c>
      <c r="U164" s="1">
        <v>17.543859650000002</v>
      </c>
      <c r="V164" s="1">
        <f t="shared" si="5"/>
        <v>2.9201387180829914</v>
      </c>
      <c r="W164" s="25"/>
      <c r="X164">
        <v>1.14E-2</v>
      </c>
      <c r="Y164" s="1">
        <v>9.6299999999999997E-2</v>
      </c>
      <c r="Z164" s="1">
        <v>9.1999999999999998E-2</v>
      </c>
      <c r="AA164" s="1">
        <v>9616</v>
      </c>
      <c r="AB164" s="1">
        <v>57</v>
      </c>
      <c r="AC164" s="29">
        <v>1918</v>
      </c>
    </row>
    <row r="165" spans="1:29">
      <c r="A165" s="12">
        <v>13</v>
      </c>
      <c r="B165" s="12" t="s">
        <v>169</v>
      </c>
      <c r="C165" s="12">
        <v>13268</v>
      </c>
      <c r="D165" s="12" t="s">
        <v>184</v>
      </c>
      <c r="E165" s="17">
        <v>0.92302782741894307</v>
      </c>
      <c r="F165" s="17">
        <v>7.697217258105693E-2</v>
      </c>
      <c r="G165" s="13">
        <v>0.96288102261553588</v>
      </c>
      <c r="H165" s="13">
        <v>11.971854304635762</v>
      </c>
      <c r="I165" s="14">
        <v>8.9663561547901214</v>
      </c>
      <c r="J165" s="16">
        <v>0.81020000000000003</v>
      </c>
      <c r="K165" s="16">
        <v>0.81020000000000003</v>
      </c>
      <c r="L165" s="13">
        <v>0.3165</v>
      </c>
      <c r="M165" s="13">
        <v>3.9600000000000003E-2</v>
      </c>
      <c r="N165" s="13">
        <v>0.121</v>
      </c>
      <c r="O165" s="13">
        <v>3.56E-2</v>
      </c>
      <c r="P165" s="16">
        <v>0.59360000000000002</v>
      </c>
      <c r="Q165" s="16">
        <v>8.929999999999999E-2</v>
      </c>
      <c r="R165" s="16">
        <v>0.47479999999999994</v>
      </c>
      <c r="S165" s="16">
        <f t="shared" si="4"/>
        <v>0.38589999999999997</v>
      </c>
      <c r="T165" s="18">
        <v>0.55863539445628907</v>
      </c>
      <c r="U165" s="1">
        <v>0</v>
      </c>
      <c r="V165" s="1">
        <f t="shared" si="5"/>
        <v>0</v>
      </c>
      <c r="W165" s="26"/>
      <c r="X165">
        <v>2.1899999999999999E-2</v>
      </c>
      <c r="Y165" s="1">
        <v>0.1013</v>
      </c>
      <c r="Z165" s="1">
        <v>9.6500000000000002E-2</v>
      </c>
      <c r="AA165" s="1">
        <v>8018</v>
      </c>
      <c r="AB165" s="1">
        <v>81</v>
      </c>
      <c r="AC165" s="29">
        <v>2109</v>
      </c>
    </row>
    <row r="166" spans="1:29">
      <c r="A166" s="12">
        <v>13</v>
      </c>
      <c r="B166" s="12" t="s">
        <v>169</v>
      </c>
      <c r="C166" s="12">
        <v>13300</v>
      </c>
      <c r="D166" s="12" t="s">
        <v>185</v>
      </c>
      <c r="E166" s="17">
        <v>0.93008905406352993</v>
      </c>
      <c r="F166" s="17">
        <v>6.9910945936470098E-2</v>
      </c>
      <c r="G166" s="13">
        <v>1</v>
      </c>
      <c r="H166" s="13">
        <v>13.290581162324649</v>
      </c>
      <c r="I166" s="14">
        <v>9.5653539365882487</v>
      </c>
      <c r="J166" s="16">
        <v>0.90659999999999996</v>
      </c>
      <c r="K166" s="16">
        <v>0.90659999999999996</v>
      </c>
      <c r="L166" s="13">
        <v>0.3327</v>
      </c>
      <c r="M166" s="13">
        <v>4.1200000000000001E-2</v>
      </c>
      <c r="N166" s="13">
        <v>0.1095</v>
      </c>
      <c r="O166" s="13">
        <v>7.85E-2</v>
      </c>
      <c r="P166" s="16">
        <v>0.73739999999999994</v>
      </c>
      <c r="Q166" s="16">
        <v>0.25319999999999998</v>
      </c>
      <c r="R166" s="16">
        <v>0.40950000000000003</v>
      </c>
      <c r="S166" s="16">
        <f t="shared" si="4"/>
        <v>0.46669999999999995</v>
      </c>
      <c r="T166" s="18">
        <v>0.48824451410658298</v>
      </c>
      <c r="U166" s="1">
        <v>11.11111111</v>
      </c>
      <c r="V166" s="1">
        <f t="shared" si="5"/>
        <v>2.4941233048011813</v>
      </c>
      <c r="W166" s="25"/>
      <c r="X166">
        <v>1.2999999999999999E-2</v>
      </c>
      <c r="Y166" s="1">
        <v>0.2515</v>
      </c>
      <c r="Z166" s="1">
        <v>0.2243</v>
      </c>
      <c r="AA166" s="1">
        <v>13252</v>
      </c>
      <c r="AB166" s="1">
        <v>180</v>
      </c>
      <c r="AC166" s="29">
        <v>3565</v>
      </c>
    </row>
    <row r="167" spans="1:29">
      <c r="A167" s="12">
        <v>13</v>
      </c>
      <c r="B167" s="12" t="s">
        <v>169</v>
      </c>
      <c r="C167" s="12">
        <v>13430</v>
      </c>
      <c r="D167" s="12" t="s">
        <v>186</v>
      </c>
      <c r="E167" s="17">
        <v>0.88366266458320974</v>
      </c>
      <c r="F167" s="17">
        <v>0.11633733541679028</v>
      </c>
      <c r="G167" s="13">
        <v>1</v>
      </c>
      <c r="H167" s="13">
        <v>7.5952623824096115</v>
      </c>
      <c r="I167" s="14">
        <v>11.929475573481874</v>
      </c>
      <c r="J167" s="16">
        <v>0.82720000000000005</v>
      </c>
      <c r="K167" s="16">
        <v>0.82689999999999997</v>
      </c>
      <c r="L167" s="13">
        <v>0.4234</v>
      </c>
      <c r="M167" s="13">
        <v>3.9399999999999998E-2</v>
      </c>
      <c r="N167" s="13">
        <v>8.9399999999999993E-2</v>
      </c>
      <c r="O167" s="13">
        <v>6.3600000000000004E-2</v>
      </c>
      <c r="P167" s="16">
        <v>0.99900000000000011</v>
      </c>
      <c r="Q167" s="16">
        <v>0.73219999999999996</v>
      </c>
      <c r="R167" s="16">
        <v>0.73219999999999996</v>
      </c>
      <c r="S167" s="16">
        <f t="shared" si="4"/>
        <v>0.82113333333333338</v>
      </c>
      <c r="T167" s="18">
        <v>0.66149888765294707</v>
      </c>
      <c r="U167" s="1">
        <v>12.14329083</v>
      </c>
      <c r="V167" s="1">
        <f t="shared" si="5"/>
        <v>2.5759114253840898</v>
      </c>
      <c r="W167" s="26"/>
      <c r="X167">
        <v>5.7599999999999998E-2</v>
      </c>
      <c r="Y167" s="1">
        <v>0.3483</v>
      </c>
      <c r="Z167" s="1">
        <v>0.29880000000000001</v>
      </c>
      <c r="AA167" s="1">
        <v>149065</v>
      </c>
      <c r="AB167" s="1">
        <v>1647</v>
      </c>
      <c r="AC167" s="29">
        <v>33889</v>
      </c>
    </row>
    <row r="168" spans="1:29">
      <c r="A168" s="12">
        <v>13</v>
      </c>
      <c r="B168" s="12" t="s">
        <v>169</v>
      </c>
      <c r="C168" s="12">
        <v>13433</v>
      </c>
      <c r="D168" s="12" t="s">
        <v>187</v>
      </c>
      <c r="E168" s="17">
        <v>0.91373282099214181</v>
      </c>
      <c r="F168" s="17">
        <v>8.62671790078582E-2</v>
      </c>
      <c r="G168" s="13">
        <v>0.95173299947285184</v>
      </c>
      <c r="H168" s="13">
        <v>10.587645407139991</v>
      </c>
      <c r="I168" s="14">
        <v>10.271181562957294</v>
      </c>
      <c r="J168" s="16">
        <v>0.89980000000000004</v>
      </c>
      <c r="K168" s="16">
        <v>0.89980000000000004</v>
      </c>
      <c r="L168" s="13">
        <v>0.50139999999999996</v>
      </c>
      <c r="M168" s="13">
        <v>2.8199999999999999E-2</v>
      </c>
      <c r="N168" s="13">
        <v>7.3899999999999993E-2</v>
      </c>
      <c r="O168" s="13">
        <v>4.3099999999999999E-2</v>
      </c>
      <c r="P168" s="16">
        <v>0</v>
      </c>
      <c r="Q168" s="16">
        <v>0</v>
      </c>
      <c r="R168" s="16">
        <v>0</v>
      </c>
      <c r="S168" s="16">
        <f t="shared" si="4"/>
        <v>0</v>
      </c>
      <c r="T168" s="18">
        <v>0.58177490649438901</v>
      </c>
      <c r="U168" s="1">
        <v>13.215859030000001</v>
      </c>
      <c r="V168" s="1">
        <f t="shared" si="5"/>
        <v>2.6543581745116809</v>
      </c>
      <c r="W168" s="25"/>
      <c r="X168">
        <v>2.0400000000000001E-2</v>
      </c>
      <c r="Y168" s="1">
        <v>0.29339999999999999</v>
      </c>
      <c r="Z168" s="1">
        <v>0.25729999999999997</v>
      </c>
      <c r="AA168" s="1">
        <v>31676</v>
      </c>
      <c r="AB168" s="1">
        <v>227</v>
      </c>
      <c r="AC168" s="29">
        <v>7159</v>
      </c>
    </row>
    <row r="169" spans="1:29">
      <c r="A169" s="12">
        <v>13</v>
      </c>
      <c r="B169" s="12" t="s">
        <v>169</v>
      </c>
      <c r="C169" s="12">
        <v>13440</v>
      </c>
      <c r="D169" s="12" t="s">
        <v>188</v>
      </c>
      <c r="E169" s="17">
        <v>0.96382376717865803</v>
      </c>
      <c r="F169" s="17">
        <v>3.6176232821341955E-2</v>
      </c>
      <c r="G169" s="13">
        <v>0.83736672871890339</v>
      </c>
      <c r="H169" s="13">
        <v>26.568245125348188</v>
      </c>
      <c r="I169" s="14">
        <v>9.199986959896691</v>
      </c>
      <c r="J169" s="16">
        <v>0.83899999999999997</v>
      </c>
      <c r="K169" s="16">
        <v>0.83899999999999997</v>
      </c>
      <c r="L169" s="13">
        <v>0.47620000000000001</v>
      </c>
      <c r="M169" s="13">
        <v>3.9699999999999999E-2</v>
      </c>
      <c r="N169" s="13">
        <v>9.4200000000000006E-2</v>
      </c>
      <c r="O169" s="13">
        <v>3.2599999999999997E-2</v>
      </c>
      <c r="P169" s="16">
        <v>0.50950000000000006</v>
      </c>
      <c r="Q169" s="16">
        <v>8.2299999999999998E-2</v>
      </c>
      <c r="R169" s="16">
        <v>0.18140000000000001</v>
      </c>
      <c r="S169" s="16">
        <f t="shared" si="4"/>
        <v>0.25773333333333337</v>
      </c>
      <c r="T169" s="18">
        <v>0.60874658336587206</v>
      </c>
      <c r="U169" s="1">
        <v>12.34567901</v>
      </c>
      <c r="V169" s="1">
        <f t="shared" si="5"/>
        <v>2.5911926627910065</v>
      </c>
      <c r="W169" s="26"/>
      <c r="X169">
        <v>1.32E-2</v>
      </c>
      <c r="Y169" s="1">
        <v>0.1628</v>
      </c>
      <c r="Z169" s="1">
        <v>0.15079999999999999</v>
      </c>
      <c r="AA169" s="1">
        <v>11721</v>
      </c>
      <c r="AB169" s="1">
        <v>81</v>
      </c>
      <c r="AC169" s="29">
        <v>2723</v>
      </c>
    </row>
    <row r="170" spans="1:29">
      <c r="A170" s="12">
        <v>13</v>
      </c>
      <c r="B170" s="12" t="s">
        <v>169</v>
      </c>
      <c r="C170" s="12">
        <v>13442</v>
      </c>
      <c r="D170" s="12" t="s">
        <v>189</v>
      </c>
      <c r="E170" s="17">
        <v>0.89817110167287861</v>
      </c>
      <c r="F170" s="17">
        <v>0.10182889832712144</v>
      </c>
      <c r="G170" s="13">
        <v>1</v>
      </c>
      <c r="H170" s="13">
        <v>8.8188936170212759</v>
      </c>
      <c r="I170" s="14">
        <v>10.962769788740298</v>
      </c>
      <c r="J170" s="16">
        <v>0.90149999999999997</v>
      </c>
      <c r="K170" s="16">
        <v>0.90149999999999997</v>
      </c>
      <c r="L170" s="13">
        <v>0.40860000000000002</v>
      </c>
      <c r="M170" s="13">
        <v>3.39E-2</v>
      </c>
      <c r="N170" s="13">
        <v>0.11650000000000001</v>
      </c>
      <c r="O170" s="13">
        <v>4.8599999999999997E-2</v>
      </c>
      <c r="P170" s="16">
        <v>0</v>
      </c>
      <c r="Q170" s="16">
        <v>0</v>
      </c>
      <c r="R170" s="16">
        <v>0</v>
      </c>
      <c r="S170" s="16">
        <f t="shared" si="4"/>
        <v>0</v>
      </c>
      <c r="T170" s="18">
        <v>0.55832835820895499</v>
      </c>
      <c r="U170" s="1">
        <v>16.194331980000001</v>
      </c>
      <c r="V170" s="1">
        <f t="shared" si="5"/>
        <v>2.8445797934639612</v>
      </c>
      <c r="W170" s="25"/>
      <c r="X170">
        <v>3.3000000000000002E-2</v>
      </c>
      <c r="Y170" s="1">
        <v>0.31819999999999998</v>
      </c>
      <c r="Z170" s="1">
        <v>0.27629999999999999</v>
      </c>
      <c r="AA170" s="1">
        <v>48970</v>
      </c>
      <c r="AB170" s="1">
        <v>494</v>
      </c>
      <c r="AC170" s="29">
        <v>12026</v>
      </c>
    </row>
    <row r="171" spans="1:29">
      <c r="A171" s="12">
        <v>13</v>
      </c>
      <c r="B171" s="12" t="s">
        <v>169</v>
      </c>
      <c r="C171" s="12">
        <v>13458</v>
      </c>
      <c r="D171" s="12" t="s">
        <v>191</v>
      </c>
      <c r="E171" s="17">
        <v>0.94910412879771489</v>
      </c>
      <c r="F171" s="17">
        <v>5.0895871202285121E-2</v>
      </c>
      <c r="G171" s="13">
        <v>0.62890582471420797</v>
      </c>
      <c r="H171" s="13">
        <v>18.61629881154499</v>
      </c>
      <c r="I171" s="14">
        <v>9.3547869763412113</v>
      </c>
      <c r="J171" s="16">
        <v>0.73560000000000003</v>
      </c>
      <c r="K171" s="16">
        <v>0.73560000000000003</v>
      </c>
      <c r="L171" s="13">
        <v>0.13420000000000001</v>
      </c>
      <c r="M171" s="13">
        <v>5.8299999999999998E-2</v>
      </c>
      <c r="N171" s="13">
        <v>0.15840000000000001</v>
      </c>
      <c r="O171" s="13">
        <v>4.8000000000000001E-2</v>
      </c>
      <c r="P171" s="16">
        <v>0.55130000000000001</v>
      </c>
      <c r="Q171" s="16">
        <v>0</v>
      </c>
      <c r="R171" s="16">
        <v>0.29330000000000001</v>
      </c>
      <c r="S171" s="16">
        <f t="shared" si="4"/>
        <v>0.28153333333333336</v>
      </c>
      <c r="T171" s="18">
        <v>1.4087870105062E-2</v>
      </c>
      <c r="U171" s="1">
        <v>30.3030303</v>
      </c>
      <c r="V171" s="1">
        <f t="shared" si="5"/>
        <v>3.4437149075563527</v>
      </c>
      <c r="W171" s="25"/>
      <c r="X171">
        <v>8.4199999999999997E-2</v>
      </c>
      <c r="Y171" s="1">
        <v>1.44E-2</v>
      </c>
      <c r="Z171" s="1">
        <v>1.43E-2</v>
      </c>
      <c r="AA171" s="1">
        <v>16510</v>
      </c>
      <c r="AB171" s="1">
        <v>132</v>
      </c>
      <c r="AC171" s="29">
        <v>4181</v>
      </c>
    </row>
    <row r="172" spans="1:29">
      <c r="A172" s="12">
        <v>13</v>
      </c>
      <c r="B172" s="12" t="s">
        <v>169</v>
      </c>
      <c r="C172" s="12">
        <v>13468</v>
      </c>
      <c r="D172" s="12" t="s">
        <v>190</v>
      </c>
      <c r="E172" s="17">
        <v>0.88810220641068327</v>
      </c>
      <c r="F172" s="17">
        <v>0.1118977935893167</v>
      </c>
      <c r="G172" s="13">
        <v>1</v>
      </c>
      <c r="H172" s="13">
        <v>7.935483870967742</v>
      </c>
      <c r="I172" s="14">
        <v>10.951893674976919</v>
      </c>
      <c r="J172" s="16">
        <v>0.96060000000000001</v>
      </c>
      <c r="K172" s="16">
        <v>0.96050000000000002</v>
      </c>
      <c r="L172" s="13">
        <v>0.44850000000000001</v>
      </c>
      <c r="M172" s="13">
        <v>3.95E-2</v>
      </c>
      <c r="N172" s="13">
        <v>9.7900000000000001E-2</v>
      </c>
      <c r="O172" s="13">
        <v>4.3200000000000002E-2</v>
      </c>
      <c r="P172" s="16">
        <v>0.82269999999999999</v>
      </c>
      <c r="Q172" s="16">
        <v>0.58590000000000009</v>
      </c>
      <c r="R172" s="16">
        <v>0.58590000000000009</v>
      </c>
      <c r="S172" s="16">
        <f t="shared" si="4"/>
        <v>0.66483333333333339</v>
      </c>
      <c r="T172" s="18">
        <v>0.55191552727764903</v>
      </c>
      <c r="U172" s="1">
        <v>7.7821011670000004</v>
      </c>
      <c r="V172" s="1">
        <f t="shared" si="5"/>
        <v>2.1727156918864274</v>
      </c>
      <c r="W172" s="26"/>
      <c r="X172">
        <v>3.85E-2</v>
      </c>
      <c r="Y172" s="1">
        <v>0.24260000000000001</v>
      </c>
      <c r="Z172" s="1">
        <v>0.2172</v>
      </c>
      <c r="AA172" s="1">
        <v>48552</v>
      </c>
      <c r="AB172" s="1">
        <v>514</v>
      </c>
      <c r="AC172" s="29">
        <v>11560</v>
      </c>
    </row>
    <row r="173" spans="1:29">
      <c r="A173" s="12">
        <v>13</v>
      </c>
      <c r="B173" s="12" t="s">
        <v>169</v>
      </c>
      <c r="C173" s="12">
        <v>13473</v>
      </c>
      <c r="D173" s="12" t="s">
        <v>192</v>
      </c>
      <c r="E173" s="17">
        <v>0.93981306050271562</v>
      </c>
      <c r="F173" s="17">
        <v>6.0186939497284327E-2</v>
      </c>
      <c r="G173" s="13">
        <v>0.63818467615170693</v>
      </c>
      <c r="H173" s="13">
        <v>15.59853249475891</v>
      </c>
      <c r="I173" s="14">
        <v>9.6699779589727406</v>
      </c>
      <c r="J173" s="16">
        <v>0.75980000000000003</v>
      </c>
      <c r="K173" s="16">
        <v>0.75980000000000003</v>
      </c>
      <c r="L173" s="13">
        <v>0.28339999999999999</v>
      </c>
      <c r="M173" s="13">
        <v>3.49E-2</v>
      </c>
      <c r="N173" s="13">
        <v>9.4700000000000006E-2</v>
      </c>
      <c r="O173" s="13">
        <v>2.2800000000000001E-2</v>
      </c>
      <c r="P173" s="16">
        <v>1</v>
      </c>
      <c r="Q173" s="16">
        <v>0.75150000000000006</v>
      </c>
      <c r="R173" s="16">
        <v>0.58030000000000004</v>
      </c>
      <c r="S173" s="16">
        <f t="shared" si="4"/>
        <v>0.77726666666666677</v>
      </c>
      <c r="T173" s="18">
        <v>0.39804391954235002</v>
      </c>
      <c r="U173" s="1">
        <v>0</v>
      </c>
      <c r="V173" s="1">
        <f t="shared" si="5"/>
        <v>0</v>
      </c>
      <c r="W173" s="26"/>
      <c r="X173">
        <v>4.6399999999999997E-2</v>
      </c>
      <c r="Y173" s="1">
        <v>4.4900000000000002E-2</v>
      </c>
      <c r="Z173" s="1">
        <v>4.3999999999999997E-2</v>
      </c>
      <c r="AA173" s="1">
        <v>25591</v>
      </c>
      <c r="AB173" s="1">
        <v>150</v>
      </c>
      <c r="AC173" s="29">
        <v>6400</v>
      </c>
    </row>
    <row r="174" spans="1:29">
      <c r="A174" s="12">
        <v>13</v>
      </c>
      <c r="B174" s="12" t="s">
        <v>169</v>
      </c>
      <c r="C174" s="12">
        <v>13490</v>
      </c>
      <c r="D174" s="12" t="s">
        <v>193</v>
      </c>
      <c r="E174" s="17">
        <v>0.93625551249498862</v>
      </c>
      <c r="F174" s="17">
        <v>6.3744487505011355E-2</v>
      </c>
      <c r="G174" s="13">
        <v>0.68783895578637744</v>
      </c>
      <c r="H174" s="13">
        <v>14.656903765690377</v>
      </c>
      <c r="I174" s="14">
        <v>8.92052268739398</v>
      </c>
      <c r="J174" s="16">
        <v>0.92530000000000001</v>
      </c>
      <c r="K174" s="16">
        <v>0.92530000000000001</v>
      </c>
      <c r="L174" s="13">
        <v>0.1671</v>
      </c>
      <c r="M174" s="13">
        <v>1.6299999999999999E-2</v>
      </c>
      <c r="N174" s="13">
        <v>0.14369999999999999</v>
      </c>
      <c r="O174" s="13">
        <v>9.7199999999999995E-2</v>
      </c>
      <c r="P174" s="16">
        <v>0.97920000000000007</v>
      </c>
      <c r="Q174" s="16">
        <v>0.67459999999999998</v>
      </c>
      <c r="R174" s="16">
        <v>0.97920000000000007</v>
      </c>
      <c r="S174" s="16">
        <f t="shared" si="4"/>
        <v>0.87766666666666671</v>
      </c>
      <c r="T174" s="18">
        <v>3.1948881789137305E-4</v>
      </c>
      <c r="U174" s="1">
        <v>0</v>
      </c>
      <c r="V174" s="1">
        <f t="shared" si="5"/>
        <v>0</v>
      </c>
      <c r="W174" s="25"/>
      <c r="X174">
        <v>1.1999999999999999E-3</v>
      </c>
      <c r="Y174" s="1">
        <v>6.6000000000000003E-2</v>
      </c>
      <c r="Z174" s="1">
        <v>6.3899999999999998E-2</v>
      </c>
      <c r="AA174" s="1">
        <v>12515</v>
      </c>
      <c r="AB174" s="1">
        <v>85</v>
      </c>
      <c r="AC174" s="29">
        <v>3226</v>
      </c>
    </row>
    <row r="175" spans="1:29">
      <c r="A175" s="12">
        <v>13</v>
      </c>
      <c r="B175" s="12" t="s">
        <v>169</v>
      </c>
      <c r="C175" s="12">
        <v>13549</v>
      </c>
      <c r="D175" s="12" t="s">
        <v>194</v>
      </c>
      <c r="E175" s="17">
        <v>0.93260980292285389</v>
      </c>
      <c r="F175" s="17">
        <v>6.7351016730008234E-2</v>
      </c>
      <c r="G175" s="13">
        <v>0.95684936642423335</v>
      </c>
      <c r="H175" s="13">
        <v>13.838953488372093</v>
      </c>
      <c r="I175" s="14">
        <v>10.147374464988237</v>
      </c>
      <c r="J175" s="16">
        <v>0.79139999999999999</v>
      </c>
      <c r="K175" s="16">
        <v>0.79139999999999999</v>
      </c>
      <c r="L175" s="13">
        <v>0.37519999999999998</v>
      </c>
      <c r="M175" s="13">
        <v>4.4299999999999999E-2</v>
      </c>
      <c r="N175" s="13">
        <v>0.115</v>
      </c>
      <c r="O175" s="13">
        <v>4.8800000000000003E-2</v>
      </c>
      <c r="P175" s="16">
        <v>0.63450000000000006</v>
      </c>
      <c r="Q175" s="16">
        <v>0.12509999999999999</v>
      </c>
      <c r="R175" s="16">
        <v>0.12509999999999999</v>
      </c>
      <c r="S175" s="16">
        <f t="shared" si="4"/>
        <v>0.2949</v>
      </c>
      <c r="T175" s="18">
        <v>0.65603298611111105</v>
      </c>
      <c r="U175" s="1">
        <v>11.23595506</v>
      </c>
      <c r="V175" s="1">
        <f t="shared" si="5"/>
        <v>2.5043787535130337</v>
      </c>
      <c r="W175" s="26"/>
      <c r="X175">
        <v>4.4000000000000003E-3</v>
      </c>
      <c r="Y175" s="1">
        <v>3.1E-2</v>
      </c>
      <c r="Z175" s="1">
        <v>3.0599999999999999E-2</v>
      </c>
      <c r="AA175" s="1">
        <v>25747</v>
      </c>
      <c r="AB175" s="1">
        <v>267</v>
      </c>
      <c r="AC175" s="29">
        <v>6825</v>
      </c>
    </row>
    <row r="176" spans="1:29">
      <c r="A176" s="12">
        <v>13</v>
      </c>
      <c r="B176" s="12" t="s">
        <v>169</v>
      </c>
      <c r="C176" s="12">
        <v>13580</v>
      </c>
      <c r="D176" s="12" t="s">
        <v>195</v>
      </c>
      <c r="E176" s="17">
        <v>0.87609457092819609</v>
      </c>
      <c r="F176" s="17">
        <v>0.12390542907180385</v>
      </c>
      <c r="G176" s="13">
        <v>0.90610949484263426</v>
      </c>
      <c r="H176" s="13">
        <v>7.0623529411764707</v>
      </c>
      <c r="I176" s="14">
        <v>8.8324417915858238</v>
      </c>
      <c r="J176" s="16">
        <v>0.70389999999999997</v>
      </c>
      <c r="K176" s="16">
        <v>0.70389999999999997</v>
      </c>
      <c r="L176" s="13">
        <v>0.28520000000000001</v>
      </c>
      <c r="M176" s="13">
        <v>6.2899999999999998E-2</v>
      </c>
      <c r="N176" s="13">
        <v>0.1087</v>
      </c>
      <c r="O176" s="13">
        <v>5.6500000000000002E-2</v>
      </c>
      <c r="P176" s="16">
        <v>0.87019999999999997</v>
      </c>
      <c r="Q176" s="16">
        <v>0.35060000000000002</v>
      </c>
      <c r="R176" s="16">
        <v>0.42590000000000006</v>
      </c>
      <c r="S176" s="16">
        <f t="shared" si="4"/>
        <v>0.54890000000000005</v>
      </c>
      <c r="T176" s="18">
        <v>0.26483233018056701</v>
      </c>
      <c r="U176" s="1">
        <v>13.698630140000001</v>
      </c>
      <c r="V176" s="1">
        <f t="shared" si="5"/>
        <v>2.68775430168734</v>
      </c>
      <c r="W176" s="25"/>
      <c r="X176">
        <v>2.23E-2</v>
      </c>
      <c r="Y176" s="1">
        <v>0.10589999999999999</v>
      </c>
      <c r="Z176" s="1">
        <v>0.10059999999999999</v>
      </c>
      <c r="AA176" s="1">
        <v>7810</v>
      </c>
      <c r="AB176" s="1">
        <v>73</v>
      </c>
      <c r="AC176" s="29">
        <v>2016</v>
      </c>
    </row>
    <row r="177" spans="1:29">
      <c r="A177" s="12">
        <v>13</v>
      </c>
      <c r="B177" s="12" t="s">
        <v>169</v>
      </c>
      <c r="C177" s="12">
        <v>13600</v>
      </c>
      <c r="D177" s="12" t="s">
        <v>196</v>
      </c>
      <c r="E177" s="17">
        <v>0.89214367042749199</v>
      </c>
      <c r="F177" s="17">
        <v>0.10785632957250803</v>
      </c>
      <c r="G177" s="13">
        <v>0.83761054274319402</v>
      </c>
      <c r="H177" s="13">
        <v>8.2636625119846592</v>
      </c>
      <c r="I177" s="14">
        <v>9.1759559451143513</v>
      </c>
      <c r="J177" s="16">
        <v>0.71240000000000003</v>
      </c>
      <c r="K177" s="16">
        <v>0.71240000000000003</v>
      </c>
      <c r="L177" s="13">
        <v>0.22159999999999999</v>
      </c>
      <c r="M177" s="13">
        <v>3.85E-2</v>
      </c>
      <c r="N177" s="13">
        <v>0.14549999999999999</v>
      </c>
      <c r="O177" s="13">
        <v>0.12039999999999999</v>
      </c>
      <c r="P177" s="16">
        <v>0.54059999999999997</v>
      </c>
      <c r="Q177" s="16">
        <v>0.42200000000000004</v>
      </c>
      <c r="R177" s="16">
        <v>0.42109999999999997</v>
      </c>
      <c r="S177" s="16">
        <f t="shared" si="4"/>
        <v>0.46123333333333333</v>
      </c>
      <c r="T177" s="18">
        <v>0.17926565874729999</v>
      </c>
      <c r="U177" s="1">
        <v>22.727272729999999</v>
      </c>
      <c r="V177" s="1">
        <f t="shared" si="5"/>
        <v>3.1666251346392653</v>
      </c>
      <c r="W177" s="26"/>
      <c r="X177">
        <v>7.3099999999999998E-2</v>
      </c>
      <c r="Y177" s="1">
        <v>4.2599999999999999E-2</v>
      </c>
      <c r="Z177" s="1">
        <v>4.1700000000000001E-2</v>
      </c>
      <c r="AA177" s="1">
        <v>12277</v>
      </c>
      <c r="AB177" s="1">
        <v>88</v>
      </c>
      <c r="AC177" s="29">
        <v>2829</v>
      </c>
    </row>
    <row r="178" spans="1:29">
      <c r="A178" s="12">
        <v>13</v>
      </c>
      <c r="B178" s="12" t="s">
        <v>169</v>
      </c>
      <c r="C178" s="12">
        <v>13620</v>
      </c>
      <c r="D178" s="12" t="s">
        <v>197</v>
      </c>
      <c r="E178" s="17">
        <v>0.88542020133469068</v>
      </c>
      <c r="F178" s="17">
        <v>0.11457979866530936</v>
      </c>
      <c r="G178" s="13">
        <v>1</v>
      </c>
      <c r="H178" s="13">
        <v>7.7199211045364891</v>
      </c>
      <c r="I178" s="14">
        <v>9.0872683743861877</v>
      </c>
      <c r="J178" s="16">
        <v>0.83960000000000001</v>
      </c>
      <c r="K178" s="16">
        <v>0.83960000000000001</v>
      </c>
      <c r="L178" s="13">
        <v>0.38540000000000002</v>
      </c>
      <c r="M178" s="13">
        <v>3.1800000000000002E-2</v>
      </c>
      <c r="N178" s="13">
        <v>7.4700000000000003E-2</v>
      </c>
      <c r="O178" s="13">
        <v>5.3499999999999999E-2</v>
      </c>
      <c r="P178" s="16">
        <v>0.83579999999999999</v>
      </c>
      <c r="Q178" s="16">
        <v>0</v>
      </c>
      <c r="R178" s="16">
        <v>0.83579999999999999</v>
      </c>
      <c r="S178" s="16">
        <f t="shared" si="4"/>
        <v>0.55720000000000003</v>
      </c>
      <c r="T178" s="18">
        <v>0</v>
      </c>
      <c r="U178" s="1">
        <v>27.027027029999999</v>
      </c>
      <c r="V178" s="1">
        <f t="shared" si="5"/>
        <v>3.3331692956913779</v>
      </c>
      <c r="W178" s="25"/>
      <c r="X178">
        <v>8.3500000000000005E-2</v>
      </c>
      <c r="Y178" s="1">
        <v>1.1325000000000001</v>
      </c>
      <c r="Z178" s="1">
        <v>0.75729999999999997</v>
      </c>
      <c r="AA178" s="1">
        <v>9542</v>
      </c>
      <c r="AB178" s="1">
        <v>74</v>
      </c>
      <c r="AC178" s="29">
        <v>2063</v>
      </c>
    </row>
    <row r="179" spans="1:29">
      <c r="A179" s="12">
        <v>13</v>
      </c>
      <c r="B179" s="12" t="s">
        <v>169</v>
      </c>
      <c r="C179" s="12">
        <v>13647</v>
      </c>
      <c r="D179" s="12" t="s">
        <v>198</v>
      </c>
      <c r="E179" s="17">
        <v>0.91993508249932376</v>
      </c>
      <c r="F179" s="17">
        <v>8.0064917500676222E-2</v>
      </c>
      <c r="G179" s="13">
        <v>0.9248511532496122</v>
      </c>
      <c r="H179" s="13">
        <v>11.482106684672518</v>
      </c>
      <c r="I179" s="14">
        <v>9.8247689678247223</v>
      </c>
      <c r="J179" s="16">
        <v>0.83120000000000005</v>
      </c>
      <c r="K179" s="16">
        <v>0.83120000000000005</v>
      </c>
      <c r="L179" s="13">
        <v>0.52429999999999999</v>
      </c>
      <c r="M179" s="13">
        <v>3.4099999999999998E-2</v>
      </c>
      <c r="N179" s="13">
        <v>8.9200000000000002E-2</v>
      </c>
      <c r="O179" s="13">
        <v>4.6100000000000002E-2</v>
      </c>
      <c r="P179" s="16">
        <v>1</v>
      </c>
      <c r="Q179" s="16">
        <v>0</v>
      </c>
      <c r="R179" s="16">
        <v>1</v>
      </c>
      <c r="S179" s="16">
        <f t="shared" si="4"/>
        <v>0.66666666666666663</v>
      </c>
      <c r="T179" s="18">
        <v>0.39196428571428499</v>
      </c>
      <c r="U179" s="1">
        <v>9.0090090089999997</v>
      </c>
      <c r="V179" s="1">
        <f t="shared" si="5"/>
        <v>2.3034855883263958</v>
      </c>
      <c r="W179" s="26"/>
      <c r="X179">
        <v>1.9E-2</v>
      </c>
      <c r="Y179" s="1">
        <v>0.50429999999999997</v>
      </c>
      <c r="Z179" s="1">
        <v>0.4083</v>
      </c>
      <c r="AA179" s="1">
        <v>21053</v>
      </c>
      <c r="AB179" s="1">
        <v>111</v>
      </c>
      <c r="AC179" s="29">
        <v>4540</v>
      </c>
    </row>
    <row r="180" spans="1:29">
      <c r="A180" s="12">
        <v>13</v>
      </c>
      <c r="B180" s="12" t="s">
        <v>169</v>
      </c>
      <c r="C180" s="12">
        <v>13650</v>
      </c>
      <c r="D180" s="12" t="s">
        <v>199</v>
      </c>
      <c r="E180" s="17">
        <v>0.96821130676552358</v>
      </c>
      <c r="F180" s="17">
        <v>3.1788693234476369E-2</v>
      </c>
      <c r="G180" s="13">
        <v>0.77956795029260895</v>
      </c>
      <c r="H180" s="13">
        <v>30.369186046511629</v>
      </c>
      <c r="I180" s="14">
        <v>9.2864677323637341</v>
      </c>
      <c r="J180" s="16">
        <v>0.60029999999999994</v>
      </c>
      <c r="K180" s="16">
        <v>0.60029999999999994</v>
      </c>
      <c r="L180" s="13">
        <v>0.21129999999999999</v>
      </c>
      <c r="M180" s="13">
        <v>5.4100000000000002E-2</v>
      </c>
      <c r="N180" s="13">
        <v>0.15479999999999999</v>
      </c>
      <c r="O180" s="13">
        <v>8.2900000000000001E-2</v>
      </c>
      <c r="P180" s="16">
        <v>0.62659999999999993</v>
      </c>
      <c r="Q180" s="16">
        <v>0.28029999999999999</v>
      </c>
      <c r="R180" s="16">
        <v>0.28029999999999999</v>
      </c>
      <c r="S180" s="16">
        <f t="shared" si="4"/>
        <v>0.39573333333333327</v>
      </c>
      <c r="T180" s="18">
        <v>0.36233576642335696</v>
      </c>
      <c r="U180" s="1">
        <v>30.3030303</v>
      </c>
      <c r="V180" s="1">
        <f t="shared" si="5"/>
        <v>3.4437149075563527</v>
      </c>
      <c r="W180" s="25"/>
      <c r="X180">
        <v>1.37E-2</v>
      </c>
      <c r="Y180" s="1">
        <v>0.123</v>
      </c>
      <c r="Z180" s="1">
        <v>0.11600000000000001</v>
      </c>
      <c r="AA180" s="1">
        <v>12766</v>
      </c>
      <c r="AB180" s="1">
        <v>99</v>
      </c>
      <c r="AC180" s="29">
        <v>3245</v>
      </c>
    </row>
    <row r="181" spans="1:29">
      <c r="A181" s="12">
        <v>13</v>
      </c>
      <c r="B181" s="12" t="s">
        <v>169</v>
      </c>
      <c r="C181" s="12">
        <v>13654</v>
      </c>
      <c r="D181" s="12" t="s">
        <v>200</v>
      </c>
      <c r="E181" s="17">
        <v>0.88513044684984732</v>
      </c>
      <c r="F181" s="17">
        <v>0.11486955315015265</v>
      </c>
      <c r="G181" s="13">
        <v>1</v>
      </c>
      <c r="H181" s="13">
        <v>7.7032004830917877</v>
      </c>
      <c r="I181" s="14">
        <v>10.268998345137259</v>
      </c>
      <c r="J181" s="16">
        <v>0.88719999999999999</v>
      </c>
      <c r="K181" s="16">
        <v>0.88719999999999999</v>
      </c>
      <c r="L181" s="13">
        <v>0.49380000000000002</v>
      </c>
      <c r="M181" s="13">
        <v>3.1199999999999999E-2</v>
      </c>
      <c r="N181" s="13">
        <v>6.2700000000000006E-2</v>
      </c>
      <c r="O181" s="13">
        <v>5.0799999999999998E-2</v>
      </c>
      <c r="P181" s="16">
        <v>0.56230000000000002</v>
      </c>
      <c r="Q181" s="16">
        <v>0</v>
      </c>
      <c r="R181" s="16">
        <v>0.65339999999999998</v>
      </c>
      <c r="S181" s="16">
        <f t="shared" si="4"/>
        <v>0.40523333333333333</v>
      </c>
      <c r="T181" s="18">
        <v>0</v>
      </c>
      <c r="U181" s="1">
        <v>4.5871559629999998</v>
      </c>
      <c r="V181" s="1">
        <f t="shared" si="5"/>
        <v>1.7204703854265662</v>
      </c>
      <c r="W181" s="26"/>
      <c r="X181">
        <v>3.0800000000000001E-2</v>
      </c>
      <c r="Y181" s="1">
        <v>0.30869999999999997</v>
      </c>
      <c r="Z181" s="1">
        <v>0.26910000000000001</v>
      </c>
      <c r="AA181" s="1">
        <v>27176</v>
      </c>
      <c r="AB181" s="1">
        <v>218</v>
      </c>
      <c r="AC181" s="29">
        <v>5738</v>
      </c>
    </row>
    <row r="182" spans="1:29" ht="25.5">
      <c r="A182" s="12">
        <v>13</v>
      </c>
      <c r="B182" s="12" t="s">
        <v>169</v>
      </c>
      <c r="C182" s="12">
        <v>13655</v>
      </c>
      <c r="D182" s="12" t="s">
        <v>201</v>
      </c>
      <c r="E182" s="17">
        <v>0.94563575958924795</v>
      </c>
      <c r="F182" s="17">
        <v>5.4364240410752038E-2</v>
      </c>
      <c r="G182" s="13">
        <v>0.8938180509313417</v>
      </c>
      <c r="H182" s="13">
        <v>17.362292051756008</v>
      </c>
      <c r="I182" s="14">
        <v>9.2037184956672959</v>
      </c>
      <c r="J182" s="16">
        <v>0.75</v>
      </c>
      <c r="K182" s="16">
        <v>0.75</v>
      </c>
      <c r="L182" s="13">
        <v>0.37880000000000003</v>
      </c>
      <c r="M182" s="13">
        <v>4.4699999999999997E-2</v>
      </c>
      <c r="N182" s="13">
        <v>0.13170000000000001</v>
      </c>
      <c r="O182" s="13">
        <v>8.43E-2</v>
      </c>
      <c r="P182" s="16">
        <v>0.51369999999999993</v>
      </c>
      <c r="Q182" s="16">
        <v>0</v>
      </c>
      <c r="R182" s="16">
        <v>0.32289999999999996</v>
      </c>
      <c r="S182" s="16">
        <f t="shared" si="4"/>
        <v>0.27886666666666665</v>
      </c>
      <c r="T182" s="18">
        <v>5.73402417962003E-2</v>
      </c>
      <c r="U182" s="1">
        <v>0</v>
      </c>
      <c r="V182" s="1">
        <f t="shared" si="5"/>
        <v>0</v>
      </c>
      <c r="W182" s="25"/>
      <c r="X182">
        <v>2.18E-2</v>
      </c>
      <c r="Y182" s="1">
        <v>1.7999999999999999E-2</v>
      </c>
      <c r="Z182" s="1">
        <v>1.7899999999999999E-2</v>
      </c>
      <c r="AA182" s="1">
        <v>10708</v>
      </c>
      <c r="AB182" s="1">
        <v>71</v>
      </c>
      <c r="AC182" s="29">
        <v>2686</v>
      </c>
    </row>
    <row r="183" spans="1:29" ht="25.5">
      <c r="A183" s="12">
        <v>13</v>
      </c>
      <c r="B183" s="12" t="s">
        <v>169</v>
      </c>
      <c r="C183" s="12">
        <v>13657</v>
      </c>
      <c r="D183" s="12" t="s">
        <v>202</v>
      </c>
      <c r="E183" s="17">
        <v>0.88111920346639627</v>
      </c>
      <c r="F183" s="17">
        <v>0.11888079653360376</v>
      </c>
      <c r="G183" s="13">
        <v>1</v>
      </c>
      <c r="H183" s="13">
        <v>7.4103508431866638</v>
      </c>
      <c r="I183" s="14">
        <v>10.677961231741842</v>
      </c>
      <c r="J183" s="16">
        <v>0.88290000000000002</v>
      </c>
      <c r="K183" s="16">
        <v>0.88290000000000002</v>
      </c>
      <c r="L183" s="13">
        <v>0.57640000000000002</v>
      </c>
      <c r="M183" s="13">
        <v>3.73E-2</v>
      </c>
      <c r="N183" s="13">
        <v>5.5399999999999998E-2</v>
      </c>
      <c r="O183" s="13">
        <v>0.03</v>
      </c>
      <c r="P183" s="16">
        <v>0.52469999999999994</v>
      </c>
      <c r="Q183" s="16">
        <v>0</v>
      </c>
      <c r="R183" s="16">
        <v>0.66590000000000005</v>
      </c>
      <c r="S183" s="16">
        <f t="shared" si="4"/>
        <v>0.39686666666666665</v>
      </c>
      <c r="T183" s="18">
        <v>0.10427036940005201</v>
      </c>
      <c r="U183" s="1">
        <v>3.4129692829999998</v>
      </c>
      <c r="V183" s="1">
        <f t="shared" si="5"/>
        <v>1.4845477696921452</v>
      </c>
      <c r="W183" s="26"/>
      <c r="X183">
        <v>3.3000000000000002E-2</v>
      </c>
      <c r="Y183" s="1">
        <v>0.2286</v>
      </c>
      <c r="Z183" s="1">
        <v>0.2059</v>
      </c>
      <c r="AA183" s="1">
        <v>42048</v>
      </c>
      <c r="AB183" s="1">
        <v>293</v>
      </c>
      <c r="AC183" s="29">
        <v>8469</v>
      </c>
    </row>
    <row r="184" spans="1:29">
      <c r="A184" s="12">
        <v>13</v>
      </c>
      <c r="B184" s="12" t="s">
        <v>169</v>
      </c>
      <c r="C184" s="12">
        <v>13667</v>
      </c>
      <c r="D184" s="12" t="s">
        <v>203</v>
      </c>
      <c r="E184" s="17">
        <v>0.95365668592774178</v>
      </c>
      <c r="F184" s="17">
        <v>4.6343314072258217E-2</v>
      </c>
      <c r="G184" s="13">
        <v>1</v>
      </c>
      <c r="H184" s="13">
        <v>20.552201257861636</v>
      </c>
      <c r="I184" s="14">
        <v>9.7488200725239889</v>
      </c>
      <c r="J184" s="16">
        <v>1.0563</v>
      </c>
      <c r="K184" s="16">
        <v>1.0563</v>
      </c>
      <c r="L184" s="13">
        <v>0.52759999999999996</v>
      </c>
      <c r="M184" s="13">
        <v>5.0999999999999997E-2</v>
      </c>
      <c r="N184" s="13">
        <v>8.1299999999999997E-2</v>
      </c>
      <c r="O184" s="13">
        <v>4.1700000000000001E-2</v>
      </c>
      <c r="P184" s="16">
        <v>0.57399999999999995</v>
      </c>
      <c r="Q184" s="16">
        <v>0.36880000000000002</v>
      </c>
      <c r="R184" s="16">
        <v>0.40939999999999999</v>
      </c>
      <c r="S184" s="16">
        <f t="shared" si="4"/>
        <v>0.45073333333333326</v>
      </c>
      <c r="T184" s="18">
        <v>0.42007722007722004</v>
      </c>
      <c r="U184" s="1">
        <v>16.194331980000001</v>
      </c>
      <c r="V184" s="1">
        <f t="shared" si="5"/>
        <v>2.8445797934639612</v>
      </c>
      <c r="W184" s="25"/>
      <c r="X184">
        <v>4.1000000000000003E-3</v>
      </c>
      <c r="Y184" s="1">
        <v>9.3899999999999997E-2</v>
      </c>
      <c r="Z184" s="1">
        <v>8.9700000000000002E-2</v>
      </c>
      <c r="AA184" s="1">
        <v>15853</v>
      </c>
      <c r="AB184" s="1">
        <v>247</v>
      </c>
      <c r="AC184" s="29">
        <v>4146</v>
      </c>
    </row>
    <row r="185" spans="1:29">
      <c r="A185" s="12">
        <v>13</v>
      </c>
      <c r="B185" s="12" t="s">
        <v>169</v>
      </c>
      <c r="C185" s="12">
        <v>13670</v>
      </c>
      <c r="D185" s="12" t="s">
        <v>204</v>
      </c>
      <c r="E185" s="17">
        <v>0.89573052992919977</v>
      </c>
      <c r="F185" s="17">
        <v>0.10426947007080026</v>
      </c>
      <c r="G185" s="13">
        <v>1</v>
      </c>
      <c r="H185" s="13">
        <v>8.5880105789009704</v>
      </c>
      <c r="I185" s="14">
        <v>10.392926094420471</v>
      </c>
      <c r="J185" s="16">
        <v>0.89070000000000005</v>
      </c>
      <c r="K185" s="16">
        <v>0.89049999999999996</v>
      </c>
      <c r="L185" s="13">
        <v>0.3614</v>
      </c>
      <c r="M185" s="13">
        <v>2.3900000000000001E-2</v>
      </c>
      <c r="N185" s="13">
        <v>7.85E-2</v>
      </c>
      <c r="O185" s="13">
        <v>5.2999999999999999E-2</v>
      </c>
      <c r="P185" s="16">
        <v>0.84030000000000005</v>
      </c>
      <c r="Q185" s="16">
        <v>0.45409999999999995</v>
      </c>
      <c r="R185" s="16">
        <v>0.83939999999999992</v>
      </c>
      <c r="S185" s="16">
        <f t="shared" si="4"/>
        <v>0.7112666666666666</v>
      </c>
      <c r="T185" s="18">
        <v>1</v>
      </c>
      <c r="U185" s="1">
        <v>0</v>
      </c>
      <c r="V185" s="1">
        <f t="shared" si="5"/>
        <v>0</v>
      </c>
      <c r="W185" s="26"/>
      <c r="X185">
        <v>2.6100000000000002E-2</v>
      </c>
      <c r="Y185" s="1">
        <v>4.6300000000000001E-2</v>
      </c>
      <c r="Z185" s="1">
        <v>4.53E-2</v>
      </c>
      <c r="AA185" s="1">
        <v>29026</v>
      </c>
      <c r="AB185" s="1">
        <v>330</v>
      </c>
      <c r="AC185" s="29">
        <v>7443</v>
      </c>
    </row>
    <row r="186" spans="1:29">
      <c r="A186" s="12">
        <v>13</v>
      </c>
      <c r="B186" s="12" t="s">
        <v>169</v>
      </c>
      <c r="C186" s="12">
        <v>13673</v>
      </c>
      <c r="D186" s="12" t="s">
        <v>205</v>
      </c>
      <c r="E186" s="17">
        <v>0.93359923184873328</v>
      </c>
      <c r="F186" s="17">
        <v>6.6400768151266706E-2</v>
      </c>
      <c r="G186" s="13">
        <v>0.84412993328761143</v>
      </c>
      <c r="H186" s="13">
        <v>14.044444444444444</v>
      </c>
      <c r="I186" s="14">
        <v>9.5134035464662663</v>
      </c>
      <c r="J186" s="16">
        <v>0.91279999999999994</v>
      </c>
      <c r="K186" s="16">
        <v>0.9123</v>
      </c>
      <c r="L186" s="13">
        <v>0.4965</v>
      </c>
      <c r="M186" s="13">
        <v>2.7300000000000001E-2</v>
      </c>
      <c r="N186" s="13">
        <v>9.8299999999999998E-2</v>
      </c>
      <c r="O186" s="13">
        <v>5.3600000000000002E-2</v>
      </c>
      <c r="P186" s="16">
        <v>0.81849999999999989</v>
      </c>
      <c r="Q186" s="16">
        <v>0</v>
      </c>
      <c r="R186" s="16">
        <v>0.8173999999999999</v>
      </c>
      <c r="S186" s="16">
        <f t="shared" si="4"/>
        <v>0.54530000000000001</v>
      </c>
      <c r="T186" s="18">
        <v>0.75703858185610007</v>
      </c>
      <c r="U186" s="1">
        <v>15.625</v>
      </c>
      <c r="V186" s="1">
        <f t="shared" si="5"/>
        <v>2.810907586541918</v>
      </c>
      <c r="W186" s="25"/>
      <c r="X186">
        <v>2.76E-2</v>
      </c>
      <c r="Y186" s="1">
        <v>0.56730000000000003</v>
      </c>
      <c r="Z186" s="1">
        <v>0.44940000000000002</v>
      </c>
      <c r="AA186" s="1">
        <v>15213</v>
      </c>
      <c r="AB186" s="1">
        <v>128</v>
      </c>
      <c r="AC186" s="29">
        <v>3532</v>
      </c>
    </row>
    <row r="187" spans="1:29">
      <c r="A187" s="12">
        <v>13</v>
      </c>
      <c r="B187" s="12" t="s">
        <v>169</v>
      </c>
      <c r="C187" s="12">
        <v>13683</v>
      </c>
      <c r="D187" s="12" t="s">
        <v>206</v>
      </c>
      <c r="E187" s="17">
        <v>0.87012482393511104</v>
      </c>
      <c r="F187" s="17">
        <v>0.12987517606488902</v>
      </c>
      <c r="G187" s="13">
        <v>0.89861208100558654</v>
      </c>
      <c r="H187" s="13">
        <v>6.6971962616822429</v>
      </c>
      <c r="I187" s="14">
        <v>9.9325608000218359</v>
      </c>
      <c r="J187" s="16">
        <v>0.75580000000000003</v>
      </c>
      <c r="K187" s="16">
        <v>0.75580000000000003</v>
      </c>
      <c r="L187" s="13">
        <v>0.38269999999999998</v>
      </c>
      <c r="M187" s="13">
        <v>1.7600000000000001E-2</v>
      </c>
      <c r="N187" s="13">
        <v>8.7599999999999997E-2</v>
      </c>
      <c r="O187" s="13">
        <v>6.5000000000000002E-2</v>
      </c>
      <c r="P187" s="16">
        <v>0.80069999999999997</v>
      </c>
      <c r="Q187" s="16">
        <v>0</v>
      </c>
      <c r="R187" s="16">
        <v>0.80069999999999997</v>
      </c>
      <c r="S187" s="16">
        <f t="shared" si="4"/>
        <v>0.53379999999999994</v>
      </c>
      <c r="T187" s="18">
        <v>0</v>
      </c>
      <c r="U187" s="1">
        <v>21.739130429999999</v>
      </c>
      <c r="V187" s="1">
        <f t="shared" si="5"/>
        <v>3.124087247925448</v>
      </c>
      <c r="W187" s="26"/>
      <c r="X187">
        <v>6.8900000000000003E-2</v>
      </c>
      <c r="Y187" s="1">
        <v>1.8223</v>
      </c>
      <c r="Z187" s="1">
        <v>1.0375000000000001</v>
      </c>
      <c r="AA187" s="1">
        <v>22371</v>
      </c>
      <c r="AB187" s="1">
        <v>322</v>
      </c>
      <c r="AC187" s="29">
        <v>5071</v>
      </c>
    </row>
    <row r="188" spans="1:29" ht="25.5">
      <c r="A188" s="12">
        <v>13</v>
      </c>
      <c r="B188" s="12" t="s">
        <v>169</v>
      </c>
      <c r="C188" s="12">
        <v>13688</v>
      </c>
      <c r="D188" s="12" t="s">
        <v>207</v>
      </c>
      <c r="E188" s="17">
        <v>0.88742831758339391</v>
      </c>
      <c r="F188" s="17">
        <v>0.11257168241660609</v>
      </c>
      <c r="G188" s="13">
        <v>1</v>
      </c>
      <c r="H188" s="13">
        <v>7.8818149210903874</v>
      </c>
      <c r="I188" s="14">
        <v>10.810232871566752</v>
      </c>
      <c r="J188" s="16">
        <v>1.1431</v>
      </c>
      <c r="K188" s="16">
        <v>1.1431</v>
      </c>
      <c r="L188" s="13">
        <v>0.3901</v>
      </c>
      <c r="M188" s="13">
        <v>3.95E-2</v>
      </c>
      <c r="N188" s="13">
        <v>0.08</v>
      </c>
      <c r="O188" s="13">
        <v>5.8299999999999998E-2</v>
      </c>
      <c r="P188" s="16">
        <v>0.51800000000000002</v>
      </c>
      <c r="Q188" s="16">
        <v>0.51649999999999996</v>
      </c>
      <c r="R188" s="16">
        <v>0.51800000000000002</v>
      </c>
      <c r="S188" s="16">
        <f t="shared" si="4"/>
        <v>0.51749999999999996</v>
      </c>
      <c r="T188" s="18">
        <v>0.52279466271312003</v>
      </c>
      <c r="U188" s="1">
        <v>8.1300813010000006</v>
      </c>
      <c r="V188" s="1">
        <f t="shared" si="5"/>
        <v>2.2115745993865068</v>
      </c>
      <c r="W188" s="25"/>
      <c r="X188">
        <v>5.8999999999999997E-2</v>
      </c>
      <c r="Y188" s="1">
        <v>7.7499999999999999E-2</v>
      </c>
      <c r="Z188" s="1">
        <v>7.4700000000000003E-2</v>
      </c>
      <c r="AA188" s="1">
        <v>33643</v>
      </c>
      <c r="AB188" s="1">
        <v>615</v>
      </c>
      <c r="AC188" s="29">
        <v>8464</v>
      </c>
    </row>
    <row r="189" spans="1:29">
      <c r="A189" s="12">
        <v>13</v>
      </c>
      <c r="B189" s="12" t="s">
        <v>169</v>
      </c>
      <c r="C189" s="12">
        <v>13744</v>
      </c>
      <c r="D189" s="12" t="s">
        <v>208</v>
      </c>
      <c r="E189" s="17">
        <v>0.91910725598167731</v>
      </c>
      <c r="F189" s="17">
        <v>8.0892744018322693E-2</v>
      </c>
      <c r="G189" s="13">
        <v>1</v>
      </c>
      <c r="H189" s="13">
        <v>11.355207706201083</v>
      </c>
      <c r="I189" s="14">
        <v>9.9292527604221537</v>
      </c>
      <c r="J189" s="16">
        <v>0.79090000000000005</v>
      </c>
      <c r="K189" s="16">
        <v>0.79090000000000005</v>
      </c>
      <c r="L189" s="13">
        <v>0.3201</v>
      </c>
      <c r="M189" s="13">
        <v>3.5999999999999997E-2</v>
      </c>
      <c r="N189" s="13">
        <v>9.7299999999999998E-2</v>
      </c>
      <c r="O189" s="13">
        <v>6.7599999999999993E-2</v>
      </c>
      <c r="P189" s="16">
        <v>0.35159999999999997</v>
      </c>
      <c r="Q189" s="16">
        <v>0</v>
      </c>
      <c r="R189" s="16">
        <v>0.35159999999999997</v>
      </c>
      <c r="S189" s="16">
        <f t="shared" si="4"/>
        <v>0.23439999999999997</v>
      </c>
      <c r="T189" s="18">
        <v>0.26548840744963803</v>
      </c>
      <c r="U189" s="1">
        <v>12.71186441</v>
      </c>
      <c r="V189" s="1">
        <f t="shared" si="5"/>
        <v>2.6182614733876299</v>
      </c>
      <c r="W189" s="26"/>
      <c r="X189">
        <v>4.9599999999999998E-2</v>
      </c>
      <c r="Y189" s="1">
        <v>5.28E-2</v>
      </c>
      <c r="Z189" s="1">
        <v>5.1400000000000001E-2</v>
      </c>
      <c r="AA189" s="1">
        <v>18510</v>
      </c>
      <c r="AB189" s="1">
        <v>236</v>
      </c>
      <c r="AC189" s="29">
        <v>4460</v>
      </c>
    </row>
    <row r="190" spans="1:29">
      <c r="A190" s="12">
        <v>13</v>
      </c>
      <c r="B190" s="12" t="s">
        <v>169</v>
      </c>
      <c r="C190" s="12">
        <v>13760</v>
      </c>
      <c r="D190" s="12" t="s">
        <v>209</v>
      </c>
      <c r="E190" s="17">
        <v>0.85824877079192385</v>
      </c>
      <c r="F190" s="17">
        <v>0.14175122920807615</v>
      </c>
      <c r="G190" s="13">
        <v>0.82009265614275906</v>
      </c>
      <c r="H190" s="13">
        <v>6.0501474926253689</v>
      </c>
      <c r="I190" s="14">
        <v>9.1653430060454468</v>
      </c>
      <c r="J190" s="16">
        <v>0.71940000000000004</v>
      </c>
      <c r="K190" s="16">
        <v>0.71940000000000004</v>
      </c>
      <c r="L190" s="13">
        <v>0.41</v>
      </c>
      <c r="M190" s="13">
        <v>1.0800000000000001E-2</v>
      </c>
      <c r="N190" s="13">
        <v>6.88E-2</v>
      </c>
      <c r="O190" s="13">
        <v>7.1900000000000006E-2</v>
      </c>
      <c r="P190" s="16">
        <v>0.54530000000000001</v>
      </c>
      <c r="Q190" s="16">
        <v>0</v>
      </c>
      <c r="R190" s="16">
        <v>0.56240000000000001</v>
      </c>
      <c r="S190" s="16">
        <f t="shared" si="4"/>
        <v>0.3692333333333333</v>
      </c>
      <c r="T190" s="18">
        <v>0</v>
      </c>
      <c r="U190" s="1">
        <v>0</v>
      </c>
      <c r="V190" s="1">
        <f t="shared" si="5"/>
        <v>0</v>
      </c>
      <c r="W190" s="25"/>
      <c r="X190">
        <v>1.54E-2</v>
      </c>
      <c r="Y190" s="1">
        <v>0.48549999999999999</v>
      </c>
      <c r="Z190" s="1">
        <v>0.39579999999999999</v>
      </c>
      <c r="AA190" s="1">
        <v>12824</v>
      </c>
      <c r="AB190" s="1">
        <v>70</v>
      </c>
      <c r="AC190" s="29">
        <v>2436</v>
      </c>
    </row>
    <row r="191" spans="1:29">
      <c r="A191" s="12">
        <v>13</v>
      </c>
      <c r="B191" s="12" t="s">
        <v>169</v>
      </c>
      <c r="C191" s="12">
        <v>13780</v>
      </c>
      <c r="D191" s="12" t="s">
        <v>210</v>
      </c>
      <c r="E191" s="17">
        <v>0.90284328257647217</v>
      </c>
      <c r="F191" s="17">
        <v>9.7156717423527827E-2</v>
      </c>
      <c r="G191" s="13">
        <v>1</v>
      </c>
      <c r="H191" s="13">
        <v>9.2862092862092869</v>
      </c>
      <c r="I191" s="14">
        <v>9.6052836526247649</v>
      </c>
      <c r="J191" s="16">
        <v>0.874</v>
      </c>
      <c r="K191" s="16">
        <v>0.87219999999999998</v>
      </c>
      <c r="L191" s="13">
        <v>0.49220000000000003</v>
      </c>
      <c r="M191" s="13">
        <v>2.1499999999999998E-2</v>
      </c>
      <c r="N191" s="13">
        <v>7.8799999999999995E-2</v>
      </c>
      <c r="O191" s="13">
        <v>3.1099999999999999E-2</v>
      </c>
      <c r="P191" s="16">
        <v>0.64029999999999998</v>
      </c>
      <c r="Q191" s="16">
        <v>0.37810000000000005</v>
      </c>
      <c r="R191" s="16">
        <v>0.44670000000000004</v>
      </c>
      <c r="S191" s="16">
        <f t="shared" si="4"/>
        <v>0.48836666666666667</v>
      </c>
      <c r="T191" s="18">
        <v>0.62801932367149704</v>
      </c>
      <c r="U191" s="1">
        <v>7.2463768120000003</v>
      </c>
      <c r="V191" s="1">
        <f t="shared" si="5"/>
        <v>2.1097739295782807</v>
      </c>
      <c r="W191" s="26"/>
      <c r="X191">
        <v>3.2599999999999997E-2</v>
      </c>
      <c r="Y191" s="1">
        <v>0.29459999999999997</v>
      </c>
      <c r="Z191" s="1">
        <v>0.25819999999999999</v>
      </c>
      <c r="AA191" s="1">
        <v>14965</v>
      </c>
      <c r="AB191" s="1">
        <v>138</v>
      </c>
      <c r="AC191" s="29">
        <v>3724</v>
      </c>
    </row>
    <row r="192" spans="1:29">
      <c r="A192" s="12">
        <v>13</v>
      </c>
      <c r="B192" s="12" t="s">
        <v>169</v>
      </c>
      <c r="C192" s="12">
        <v>13810</v>
      </c>
      <c r="D192" s="12" t="s">
        <v>211</v>
      </c>
      <c r="E192" s="17">
        <v>0.966775873655914</v>
      </c>
      <c r="F192" s="17">
        <v>3.3224126344086023E-2</v>
      </c>
      <c r="G192" s="13">
        <v>1</v>
      </c>
      <c r="H192" s="13">
        <v>29.061868686868689</v>
      </c>
      <c r="I192" s="14">
        <v>10.077818939438902</v>
      </c>
      <c r="J192" s="16">
        <v>0.997</v>
      </c>
      <c r="K192" s="16">
        <v>0.997</v>
      </c>
      <c r="L192" s="13">
        <v>0.33979999999999999</v>
      </c>
      <c r="M192" s="13">
        <v>3.1600000000000003E-2</v>
      </c>
      <c r="N192" s="13">
        <v>0.1235</v>
      </c>
      <c r="O192" s="13">
        <v>6.8900000000000003E-2</v>
      </c>
      <c r="P192" s="16">
        <v>0.52270000000000005</v>
      </c>
      <c r="Q192" s="16">
        <v>0</v>
      </c>
      <c r="R192" s="16">
        <v>0.28449999999999998</v>
      </c>
      <c r="S192" s="16">
        <f t="shared" si="4"/>
        <v>0.26906666666666668</v>
      </c>
      <c r="T192" s="18">
        <v>6.4244572441293701E-3</v>
      </c>
      <c r="U192" s="1">
        <v>6.6889632109999999</v>
      </c>
      <c r="V192" s="1">
        <f t="shared" si="5"/>
        <v>2.0397859514112078</v>
      </c>
      <c r="W192" s="25"/>
      <c r="X192">
        <v>7.3000000000000001E-3</v>
      </c>
      <c r="Y192" s="1">
        <v>1.1599999999999999E-2</v>
      </c>
      <c r="Z192" s="1">
        <v>1.15E-2</v>
      </c>
      <c r="AA192" s="1">
        <v>18535</v>
      </c>
      <c r="AB192" s="1">
        <v>299</v>
      </c>
      <c r="AC192" s="29">
        <v>5251</v>
      </c>
    </row>
    <row r="193" spans="1:29">
      <c r="A193" s="12">
        <v>13</v>
      </c>
      <c r="B193" s="12" t="s">
        <v>169</v>
      </c>
      <c r="C193" s="12">
        <v>13836</v>
      </c>
      <c r="D193" s="12" t="s">
        <v>212</v>
      </c>
      <c r="E193" s="17">
        <v>0.64216379429494885</v>
      </c>
      <c r="F193" s="17">
        <v>0.35781494200325337</v>
      </c>
      <c r="G193" s="13">
        <v>0.81403621131343906</v>
      </c>
      <c r="H193" s="13">
        <v>1.7946280009507962</v>
      </c>
      <c r="I193" s="14">
        <v>11.451666892249376</v>
      </c>
      <c r="J193" s="16">
        <v>0.99809999999999999</v>
      </c>
      <c r="K193" s="16">
        <v>0.99650000000000005</v>
      </c>
      <c r="L193" s="13">
        <v>0.61660000000000004</v>
      </c>
      <c r="M193" s="13">
        <v>2.8400000000000002E-2</v>
      </c>
      <c r="N193" s="13">
        <v>8.43E-2</v>
      </c>
      <c r="O193" s="13">
        <v>6.7100000000000007E-2</v>
      </c>
      <c r="P193" s="16">
        <v>0</v>
      </c>
      <c r="Q193" s="16">
        <v>0</v>
      </c>
      <c r="R193" s="16">
        <v>0</v>
      </c>
      <c r="S193" s="16">
        <f t="shared" si="4"/>
        <v>0</v>
      </c>
      <c r="T193" s="18">
        <v>1</v>
      </c>
      <c r="U193" s="1">
        <v>7.7348066299999996</v>
      </c>
      <c r="V193" s="1">
        <f t="shared" si="5"/>
        <v>2.1673158059626214</v>
      </c>
      <c r="W193" s="26"/>
      <c r="X193">
        <v>0.13900000000000001</v>
      </c>
      <c r="Y193" s="1">
        <v>5.8817000000000004</v>
      </c>
      <c r="Z193" s="1">
        <v>1.9289000000000001</v>
      </c>
      <c r="AA193" s="1">
        <v>124939</v>
      </c>
      <c r="AB193" s="1">
        <v>905</v>
      </c>
      <c r="AC193" s="29">
        <v>25615</v>
      </c>
    </row>
    <row r="194" spans="1:29">
      <c r="A194" s="12">
        <v>13</v>
      </c>
      <c r="B194" s="12" t="s">
        <v>169</v>
      </c>
      <c r="C194" s="12">
        <v>13838</v>
      </c>
      <c r="D194" s="12" t="s">
        <v>213</v>
      </c>
      <c r="E194" s="17">
        <v>0.77799491889779171</v>
      </c>
      <c r="F194" s="17">
        <v>0.22200508110220832</v>
      </c>
      <c r="G194" s="13">
        <v>0.85621060851135034</v>
      </c>
      <c r="H194" s="13">
        <v>3.5033734232912876</v>
      </c>
      <c r="I194" s="14">
        <v>9.6390010376875352</v>
      </c>
      <c r="J194" s="16">
        <v>0.91590000000000005</v>
      </c>
      <c r="K194" s="16">
        <v>0.91590000000000005</v>
      </c>
      <c r="L194" s="13">
        <v>0.45929999999999999</v>
      </c>
      <c r="M194" s="13">
        <v>3.1E-2</v>
      </c>
      <c r="N194" s="13">
        <v>8.8300000000000003E-2</v>
      </c>
      <c r="O194" s="13">
        <v>6.4000000000000001E-2</v>
      </c>
      <c r="P194" s="16">
        <v>0.62350000000000005</v>
      </c>
      <c r="Q194" s="16">
        <v>0</v>
      </c>
      <c r="R194" s="16">
        <v>0.62350000000000005</v>
      </c>
      <c r="S194" s="16">
        <f t="shared" ref="S194:S257" si="6">+(P194+Q194+R194)/3</f>
        <v>0.41566666666666668</v>
      </c>
      <c r="T194" s="18">
        <v>0.32228571428571401</v>
      </c>
      <c r="U194" s="1">
        <v>13.422818790000001</v>
      </c>
      <c r="V194" s="1">
        <f t="shared" ref="V194:V257" si="7">LN(U194+1)</f>
        <v>2.6688115905621048</v>
      </c>
      <c r="W194" s="25"/>
      <c r="X194">
        <v>3.1600000000000003E-2</v>
      </c>
      <c r="Y194" s="1">
        <v>1.9267000000000001</v>
      </c>
      <c r="Z194" s="1">
        <v>1.0739000000000001</v>
      </c>
      <c r="AA194" s="1">
        <v>17726</v>
      </c>
      <c r="AB194" s="1">
        <v>149</v>
      </c>
      <c r="AC194" s="29">
        <v>3684</v>
      </c>
    </row>
    <row r="195" spans="1:29">
      <c r="A195" s="12">
        <v>13</v>
      </c>
      <c r="B195" s="12" t="s">
        <v>169</v>
      </c>
      <c r="C195" s="12">
        <v>13873</v>
      </c>
      <c r="D195" s="12" t="s">
        <v>214</v>
      </c>
      <c r="E195" s="17">
        <v>0.90171202809481998</v>
      </c>
      <c r="F195" s="17">
        <v>9.8287971905179988E-2</v>
      </c>
      <c r="G195" s="13">
        <v>0.87713218589965736</v>
      </c>
      <c r="H195" s="13">
        <v>9.1700892857142851</v>
      </c>
      <c r="I195" s="14">
        <v>10.033682134193954</v>
      </c>
      <c r="J195" s="16">
        <v>0.76870000000000005</v>
      </c>
      <c r="K195" s="16">
        <v>0.76770000000000005</v>
      </c>
      <c r="L195" s="13">
        <v>0.38950000000000001</v>
      </c>
      <c r="M195" s="13">
        <v>1.11E-2</v>
      </c>
      <c r="N195" s="13">
        <v>0.11020000000000001</v>
      </c>
      <c r="O195" s="13">
        <v>3.3300000000000003E-2</v>
      </c>
      <c r="P195" s="16">
        <v>0.60589999999999999</v>
      </c>
      <c r="Q195" s="16">
        <v>0</v>
      </c>
      <c r="R195" s="16">
        <v>0.68120000000000003</v>
      </c>
      <c r="S195" s="16">
        <f t="shared" si="6"/>
        <v>0.42903333333333338</v>
      </c>
      <c r="T195" s="18">
        <v>0.38491446345256597</v>
      </c>
      <c r="U195" s="1">
        <v>22.55639098</v>
      </c>
      <c r="V195" s="1">
        <f t="shared" si="7"/>
        <v>3.1593971628389603</v>
      </c>
      <c r="W195" s="26"/>
      <c r="X195">
        <v>1.6299999999999999E-2</v>
      </c>
      <c r="Y195" s="1">
        <v>0.57650000000000001</v>
      </c>
      <c r="Z195" s="1">
        <v>0.45519999999999999</v>
      </c>
      <c r="AA195" s="1">
        <v>28802</v>
      </c>
      <c r="AB195" s="1">
        <v>266</v>
      </c>
      <c r="AC195" s="29">
        <v>6661</v>
      </c>
    </row>
    <row r="196" spans="1:29">
      <c r="A196" s="12">
        <v>13</v>
      </c>
      <c r="B196" s="12" t="s">
        <v>169</v>
      </c>
      <c r="C196" s="12">
        <v>13894</v>
      </c>
      <c r="D196" s="12" t="s">
        <v>215</v>
      </c>
      <c r="E196" s="17">
        <v>0.86313633259995448</v>
      </c>
      <c r="F196" s="17">
        <v>0.13686366740004552</v>
      </c>
      <c r="G196" s="13">
        <v>1</v>
      </c>
      <c r="H196" s="13">
        <v>6.3030470914127426</v>
      </c>
      <c r="I196" s="14">
        <v>9.4866075416126652</v>
      </c>
      <c r="J196" s="16">
        <v>0.90480000000000005</v>
      </c>
      <c r="K196" s="16">
        <v>0.90480000000000005</v>
      </c>
      <c r="L196" s="13">
        <v>0.55120000000000002</v>
      </c>
      <c r="M196" s="13">
        <v>2.3199999999999998E-2</v>
      </c>
      <c r="N196" s="13">
        <v>7.2999999999999995E-2</v>
      </c>
      <c r="O196" s="13">
        <v>2.2800000000000001E-2</v>
      </c>
      <c r="P196" s="16">
        <v>0.84160000000000001</v>
      </c>
      <c r="Q196" s="16">
        <v>0</v>
      </c>
      <c r="R196" s="16">
        <v>0.84160000000000001</v>
      </c>
      <c r="S196" s="16">
        <f t="shared" si="6"/>
        <v>0.56106666666666671</v>
      </c>
      <c r="T196" s="18">
        <v>0</v>
      </c>
      <c r="U196" s="1">
        <v>0</v>
      </c>
      <c r="V196" s="1">
        <f t="shared" si="7"/>
        <v>0</v>
      </c>
      <c r="W196" s="25"/>
      <c r="X196">
        <v>0.03</v>
      </c>
      <c r="Y196" s="1">
        <v>0.1694</v>
      </c>
      <c r="Z196" s="1">
        <v>0.1565</v>
      </c>
      <c r="AA196" s="1">
        <v>13291</v>
      </c>
      <c r="AB196" s="1">
        <v>156</v>
      </c>
      <c r="AC196" s="29">
        <v>2938</v>
      </c>
    </row>
    <row r="197" spans="1:29">
      <c r="A197" s="12">
        <v>15</v>
      </c>
      <c r="B197" s="12" t="s">
        <v>216</v>
      </c>
      <c r="C197" s="12">
        <v>15001</v>
      </c>
      <c r="D197" s="12" t="s">
        <v>326</v>
      </c>
      <c r="E197" s="17">
        <v>0.36703882499860208</v>
      </c>
      <c r="F197" s="17">
        <v>0.63293787627444031</v>
      </c>
      <c r="G197" s="13">
        <v>1</v>
      </c>
      <c r="H197" s="13">
        <v>0.57989280876376703</v>
      </c>
      <c r="I197" s="14">
        <v>12.276554408068543</v>
      </c>
      <c r="J197" s="16">
        <v>0.99070000000000003</v>
      </c>
      <c r="K197" s="16">
        <v>0.98929999999999996</v>
      </c>
      <c r="L197" s="13">
        <v>0.56559999999999999</v>
      </c>
      <c r="M197" s="13">
        <v>2.8199999999999999E-2</v>
      </c>
      <c r="N197" s="13">
        <v>9.0399999999999994E-2</v>
      </c>
      <c r="O197" s="13">
        <v>7.8399999999999997E-2</v>
      </c>
      <c r="P197" s="16">
        <v>0.92920000000000003</v>
      </c>
      <c r="Q197" s="16">
        <v>0.88950000000000007</v>
      </c>
      <c r="R197" s="16"/>
      <c r="S197" s="16">
        <f t="shared" si="6"/>
        <v>0.6062333333333334</v>
      </c>
      <c r="T197" s="18">
        <v>1</v>
      </c>
      <c r="U197" s="1">
        <v>7.1386079709999999</v>
      </c>
      <c r="V197" s="1">
        <f t="shared" si="7"/>
        <v>2.096619154456751</v>
      </c>
      <c r="W197" s="25"/>
      <c r="X197">
        <v>0.34810000000000002</v>
      </c>
      <c r="Y197" s="1">
        <v>9.7444000000000006</v>
      </c>
      <c r="Z197" s="1">
        <v>2.3744000000000001</v>
      </c>
      <c r="AA197" s="1">
        <v>187765</v>
      </c>
      <c r="AB197" s="1">
        <v>1681</v>
      </c>
      <c r="AC197" s="29">
        <v>32319</v>
      </c>
    </row>
    <row r="198" spans="1:29">
      <c r="A198" s="12">
        <v>15</v>
      </c>
      <c r="B198" s="12" t="s">
        <v>216</v>
      </c>
      <c r="C198" s="12">
        <v>15022</v>
      </c>
      <c r="D198" s="12" t="s">
        <v>217</v>
      </c>
      <c r="E198" s="17">
        <v>0.89784615384615385</v>
      </c>
      <c r="F198" s="17">
        <v>0.10215384615384615</v>
      </c>
      <c r="G198" s="13">
        <v>0.79345703125</v>
      </c>
      <c r="H198" s="13">
        <v>8.7365269461077837</v>
      </c>
      <c r="I198" s="14">
        <v>7.3938782901077555</v>
      </c>
      <c r="J198" s="16">
        <v>0.67679999999999996</v>
      </c>
      <c r="K198" s="16">
        <v>0.67679999999999996</v>
      </c>
      <c r="L198" s="13">
        <v>0.31909999999999999</v>
      </c>
      <c r="M198" s="13">
        <v>2.0500000000000001E-2</v>
      </c>
      <c r="N198" s="13">
        <v>5.1299999999999998E-2</v>
      </c>
      <c r="O198" s="13">
        <v>5.1299999999999998E-2</v>
      </c>
      <c r="P198" s="16">
        <v>0.2298</v>
      </c>
      <c r="Q198" s="16">
        <v>0.1012</v>
      </c>
      <c r="R198" s="16">
        <v>0.1012</v>
      </c>
      <c r="S198" s="16">
        <f t="shared" si="6"/>
        <v>0.14406666666666668</v>
      </c>
      <c r="T198" s="18">
        <v>0.72902603664416499</v>
      </c>
      <c r="U198" s="1">
        <v>0</v>
      </c>
      <c r="V198" s="1">
        <f t="shared" si="7"/>
        <v>0</v>
      </c>
      <c r="W198" s="26"/>
      <c r="X198">
        <v>6.3399999999999998E-2</v>
      </c>
      <c r="Y198" s="1">
        <v>0.1096</v>
      </c>
      <c r="Z198" s="1">
        <v>0.104</v>
      </c>
      <c r="AA198" s="1">
        <v>1825</v>
      </c>
      <c r="AB198" s="1">
        <v>10</v>
      </c>
      <c r="AC198" s="29">
        <v>228</v>
      </c>
    </row>
    <row r="199" spans="1:29">
      <c r="A199" s="12">
        <v>15</v>
      </c>
      <c r="B199" s="12" t="s">
        <v>216</v>
      </c>
      <c r="C199" s="12">
        <v>15047</v>
      </c>
      <c r="D199" s="12" t="s">
        <v>218</v>
      </c>
      <c r="E199" s="17">
        <v>0.94116897189113391</v>
      </c>
      <c r="F199" s="17">
        <v>5.8831028108866083E-2</v>
      </c>
      <c r="G199" s="13">
        <v>0.95200242718446604</v>
      </c>
      <c r="H199" s="13">
        <v>15.980519480519481</v>
      </c>
      <c r="I199" s="14">
        <v>9.6607788457270782</v>
      </c>
      <c r="J199" s="16">
        <v>0.78180000000000005</v>
      </c>
      <c r="K199" s="16">
        <v>0.78180000000000005</v>
      </c>
      <c r="L199" s="13">
        <v>0.48199999999999998</v>
      </c>
      <c r="M199" s="13">
        <v>3.8600000000000002E-2</v>
      </c>
      <c r="N199" s="13">
        <v>8.72E-2</v>
      </c>
      <c r="O199" s="13">
        <v>8.6499999999999994E-2</v>
      </c>
      <c r="P199" s="16">
        <v>0.93940000000000001</v>
      </c>
      <c r="Q199" s="16">
        <v>0.93909999999999993</v>
      </c>
      <c r="R199" s="16">
        <v>0.39240000000000003</v>
      </c>
      <c r="S199" s="16">
        <f t="shared" si="6"/>
        <v>0.75696666666666657</v>
      </c>
      <c r="T199" s="18">
        <v>0.86690518783542003</v>
      </c>
      <c r="U199" s="1">
        <v>6.9444444440000002</v>
      </c>
      <c r="V199" s="1">
        <f t="shared" si="7"/>
        <v>2.0724728723077988</v>
      </c>
      <c r="W199" s="25"/>
      <c r="X199">
        <v>3.2099999999999997E-2</v>
      </c>
      <c r="Y199" s="1">
        <v>0.1046</v>
      </c>
      <c r="Z199" s="1">
        <v>9.9500000000000005E-2</v>
      </c>
      <c r="AA199" s="1">
        <v>15405</v>
      </c>
      <c r="AB199" s="1">
        <v>144</v>
      </c>
      <c r="AC199" s="29">
        <v>3048</v>
      </c>
    </row>
    <row r="200" spans="1:29">
      <c r="A200" s="12">
        <v>15</v>
      </c>
      <c r="B200" s="12" t="s">
        <v>216</v>
      </c>
      <c r="C200" s="12">
        <v>15051</v>
      </c>
      <c r="D200" s="12" t="s">
        <v>219</v>
      </c>
      <c r="E200" s="17">
        <v>0.81643255724456421</v>
      </c>
      <c r="F200" s="17">
        <v>0.18356744275543582</v>
      </c>
      <c r="G200" s="13">
        <v>0.81958681595962779</v>
      </c>
      <c r="H200" s="13">
        <v>4.4429319371727747</v>
      </c>
      <c r="I200" s="14">
        <v>8.5560292152014359</v>
      </c>
      <c r="J200" s="16">
        <v>0.79720000000000002</v>
      </c>
      <c r="K200" s="16">
        <v>0.79720000000000002</v>
      </c>
      <c r="L200" s="13">
        <v>0.48039999999999999</v>
      </c>
      <c r="M200" s="13">
        <v>1.2800000000000001E-2</v>
      </c>
      <c r="N200" s="13">
        <v>8.1000000000000003E-2</v>
      </c>
      <c r="O200" s="13">
        <v>9.8799999999999999E-2</v>
      </c>
      <c r="P200" s="16">
        <v>0</v>
      </c>
      <c r="Q200" s="16">
        <v>0</v>
      </c>
      <c r="R200" s="16">
        <v>0</v>
      </c>
      <c r="S200" s="16">
        <f t="shared" si="6"/>
        <v>0</v>
      </c>
      <c r="T200" s="18">
        <v>1</v>
      </c>
      <c r="U200" s="1">
        <v>0</v>
      </c>
      <c r="V200" s="1">
        <f t="shared" si="7"/>
        <v>0</v>
      </c>
      <c r="W200" s="26"/>
      <c r="X200">
        <v>6.9199999999999998E-2</v>
      </c>
      <c r="Y200" s="1">
        <v>0.27050000000000002</v>
      </c>
      <c r="Z200" s="1">
        <v>0.2394</v>
      </c>
      <c r="AA200" s="1">
        <v>6370</v>
      </c>
      <c r="AB200" s="1">
        <v>66</v>
      </c>
      <c r="AC200" s="29">
        <v>1207</v>
      </c>
    </row>
    <row r="201" spans="1:29">
      <c r="A201" s="12">
        <v>15</v>
      </c>
      <c r="B201" s="12" t="s">
        <v>216</v>
      </c>
      <c r="C201" s="12">
        <v>15087</v>
      </c>
      <c r="D201" s="12" t="s">
        <v>220</v>
      </c>
      <c r="E201" s="17">
        <v>0.765625</v>
      </c>
      <c r="F201" s="17">
        <v>0.234375</v>
      </c>
      <c r="G201" s="13">
        <v>0.94553649680731189</v>
      </c>
      <c r="H201" s="13">
        <v>3.2648221343873516</v>
      </c>
      <c r="I201" s="14">
        <v>8.929700114313448</v>
      </c>
      <c r="J201" s="16">
        <v>0.9708</v>
      </c>
      <c r="K201" s="16">
        <v>0.96940000000000004</v>
      </c>
      <c r="L201" s="13">
        <v>0.73809999999999998</v>
      </c>
      <c r="M201" s="13">
        <v>2.8000000000000001E-2</v>
      </c>
      <c r="N201" s="13">
        <v>6.1699999999999998E-2</v>
      </c>
      <c r="O201" s="13">
        <v>4.0899999999999999E-2</v>
      </c>
      <c r="P201" s="16">
        <v>0.94129999999999991</v>
      </c>
      <c r="Q201" s="16">
        <v>0.21890000000000001</v>
      </c>
      <c r="R201" s="16">
        <v>0.21890000000000001</v>
      </c>
      <c r="S201" s="16">
        <f t="shared" si="6"/>
        <v>0.4597</v>
      </c>
      <c r="T201" s="18">
        <v>0.89069483949613892</v>
      </c>
      <c r="U201" s="1">
        <v>0</v>
      </c>
      <c r="V201" s="1">
        <f t="shared" si="7"/>
        <v>0</v>
      </c>
      <c r="W201" s="25"/>
      <c r="X201">
        <v>8.0799999999999997E-2</v>
      </c>
      <c r="Y201" s="1">
        <v>0.28689999999999999</v>
      </c>
      <c r="Z201" s="1">
        <v>0.25219999999999998</v>
      </c>
      <c r="AA201" s="1">
        <v>7638</v>
      </c>
      <c r="AB201" s="1">
        <v>80</v>
      </c>
      <c r="AC201" s="29">
        <v>1368</v>
      </c>
    </row>
    <row r="202" spans="1:29">
      <c r="A202" s="12">
        <v>15</v>
      </c>
      <c r="B202" s="12" t="s">
        <v>216</v>
      </c>
      <c r="C202" s="12">
        <v>15090</v>
      </c>
      <c r="D202" s="12" t="s">
        <v>221</v>
      </c>
      <c r="E202" s="17">
        <v>0.89181111775254029</v>
      </c>
      <c r="F202" s="17">
        <v>0.10818888224745965</v>
      </c>
      <c r="G202" s="13">
        <v>0.98411764705882354</v>
      </c>
      <c r="H202" s="13">
        <v>8.1978021978021971</v>
      </c>
      <c r="I202" s="14">
        <v>7.4229712510494208</v>
      </c>
      <c r="J202" s="16">
        <v>0.69520000000000004</v>
      </c>
      <c r="K202" s="16">
        <v>0.69520000000000004</v>
      </c>
      <c r="L202" s="13">
        <v>0.5</v>
      </c>
      <c r="M202" s="13">
        <v>1.49E-2</v>
      </c>
      <c r="N202" s="13">
        <v>7.9600000000000004E-2</v>
      </c>
      <c r="O202" s="13">
        <v>1.9900000000000001E-2</v>
      </c>
      <c r="P202" s="16">
        <v>0.55000000000000004</v>
      </c>
      <c r="Q202" s="16">
        <v>0.21379999999999999</v>
      </c>
      <c r="R202" s="16">
        <v>0.1867</v>
      </c>
      <c r="S202" s="16">
        <f t="shared" si="6"/>
        <v>0.31683333333333336</v>
      </c>
      <c r="T202" s="18">
        <v>0.96296296296296202</v>
      </c>
      <c r="U202" s="1">
        <v>0</v>
      </c>
      <c r="V202" s="1">
        <f t="shared" si="7"/>
        <v>0</v>
      </c>
      <c r="W202" s="26"/>
      <c r="X202">
        <v>9.4700000000000006E-2</v>
      </c>
      <c r="Y202" s="1">
        <v>8.4699999999999998E-2</v>
      </c>
      <c r="Z202" s="1">
        <v>8.1299999999999997E-2</v>
      </c>
      <c r="AA202" s="1">
        <v>1645</v>
      </c>
      <c r="AB202" s="1">
        <v>4</v>
      </c>
      <c r="AC202" s="29">
        <v>257</v>
      </c>
    </row>
    <row r="203" spans="1:29">
      <c r="A203" s="12">
        <v>15</v>
      </c>
      <c r="B203" s="12" t="s">
        <v>216</v>
      </c>
      <c r="C203" s="12">
        <v>15092</v>
      </c>
      <c r="D203" s="12" t="s">
        <v>222</v>
      </c>
      <c r="E203" s="17">
        <v>0.81672816728167286</v>
      </c>
      <c r="F203" s="17">
        <v>0.18327183271832717</v>
      </c>
      <c r="G203" s="13">
        <v>0.78588690188496857</v>
      </c>
      <c r="H203" s="13">
        <v>4.4414715719063542</v>
      </c>
      <c r="I203" s="14">
        <v>7.3944931072190379</v>
      </c>
      <c r="J203" s="16">
        <v>0.6391</v>
      </c>
      <c r="K203" s="16">
        <v>0.6391</v>
      </c>
      <c r="L203" s="13">
        <v>0.39219999999999999</v>
      </c>
      <c r="M203" s="13">
        <v>2.4E-2</v>
      </c>
      <c r="N203" s="13">
        <v>7.2099999999999997E-2</v>
      </c>
      <c r="O203" s="13">
        <v>5.7700000000000001E-2</v>
      </c>
      <c r="P203" s="16">
        <v>0.2893</v>
      </c>
      <c r="Q203" s="16">
        <v>0.16020000000000001</v>
      </c>
      <c r="R203" s="16">
        <v>0.23739999999999997</v>
      </c>
      <c r="S203" s="16">
        <f t="shared" si="6"/>
        <v>0.22896666666666665</v>
      </c>
      <c r="T203" s="18">
        <v>0.61675717610550795</v>
      </c>
      <c r="U203" s="1">
        <v>0</v>
      </c>
      <c r="V203" s="1">
        <f t="shared" si="7"/>
        <v>0</v>
      </c>
      <c r="W203" s="25"/>
      <c r="X203">
        <v>2.69E-2</v>
      </c>
      <c r="Y203" s="1">
        <v>8.7400000000000005E-2</v>
      </c>
      <c r="Z203" s="1">
        <v>8.3799999999999999E-2</v>
      </c>
      <c r="AA203" s="1">
        <v>1825</v>
      </c>
      <c r="AB203" s="1">
        <v>5</v>
      </c>
      <c r="AC203" s="29">
        <v>267</v>
      </c>
    </row>
    <row r="204" spans="1:29">
      <c r="A204" s="12">
        <v>15</v>
      </c>
      <c r="B204" s="12" t="s">
        <v>216</v>
      </c>
      <c r="C204" s="12">
        <v>15097</v>
      </c>
      <c r="D204" s="12" t="s">
        <v>223</v>
      </c>
      <c r="E204" s="17">
        <v>0.88792779240315911</v>
      </c>
      <c r="F204" s="17">
        <v>0.1118841669800677</v>
      </c>
      <c r="G204" s="13">
        <v>0.98081888601991885</v>
      </c>
      <c r="H204" s="13">
        <v>7.9228187919463089</v>
      </c>
      <c r="I204" s="14">
        <v>8.5790405947423167</v>
      </c>
      <c r="J204" s="16">
        <v>0.85960000000000003</v>
      </c>
      <c r="K204" s="16">
        <v>0.85960000000000003</v>
      </c>
      <c r="L204" s="13">
        <v>0.43480000000000002</v>
      </c>
      <c r="M204" s="13">
        <v>1.6400000000000001E-2</v>
      </c>
      <c r="N204" s="13">
        <v>0.1018</v>
      </c>
      <c r="O204" s="13">
        <v>0.1094</v>
      </c>
      <c r="P204" s="16">
        <v>0.80010000000000003</v>
      </c>
      <c r="Q204" s="16">
        <v>0.26239999999999997</v>
      </c>
      <c r="R204" s="16">
        <v>0.26239999999999997</v>
      </c>
      <c r="S204" s="16">
        <f t="shared" si="6"/>
        <v>0.44163333333333332</v>
      </c>
      <c r="T204" s="18">
        <v>0.85081585081585009</v>
      </c>
      <c r="U204" s="1">
        <v>32.258064519999998</v>
      </c>
      <c r="V204" s="1">
        <f t="shared" si="7"/>
        <v>3.5042972796482053</v>
      </c>
      <c r="W204" s="26"/>
      <c r="X204">
        <v>5.3100000000000001E-2</v>
      </c>
      <c r="Y204" s="1">
        <v>0.1749</v>
      </c>
      <c r="Z204" s="1">
        <v>0.16120000000000001</v>
      </c>
      <c r="AA204" s="1">
        <v>5145</v>
      </c>
      <c r="AB204" s="1">
        <v>31</v>
      </c>
      <c r="AC204" s="29">
        <v>884</v>
      </c>
    </row>
    <row r="205" spans="1:29">
      <c r="A205" s="12">
        <v>15</v>
      </c>
      <c r="B205" s="12" t="s">
        <v>216</v>
      </c>
      <c r="C205" s="12">
        <v>15104</v>
      </c>
      <c r="D205" s="12" t="s">
        <v>216</v>
      </c>
      <c r="E205" s="17">
        <v>0.8768020969855832</v>
      </c>
      <c r="F205" s="17">
        <v>0.12319790301441677</v>
      </c>
      <c r="G205" s="13">
        <v>0.98035976505139499</v>
      </c>
      <c r="H205" s="13">
        <v>7.1062215477996968</v>
      </c>
      <c r="I205" s="14">
        <v>8.5833553936699065</v>
      </c>
      <c r="J205" s="16">
        <v>0.6673</v>
      </c>
      <c r="K205" s="16">
        <v>0.6673</v>
      </c>
      <c r="L205" s="13">
        <v>0.62790000000000001</v>
      </c>
      <c r="M205" s="13">
        <v>2.01E-2</v>
      </c>
      <c r="N205" s="13">
        <v>3.44E-2</v>
      </c>
      <c r="O205" s="13">
        <v>2.1499999999999998E-2</v>
      </c>
      <c r="P205" s="16">
        <v>0.84620000000000006</v>
      </c>
      <c r="Q205" s="16">
        <v>0.16980000000000001</v>
      </c>
      <c r="R205" s="16">
        <v>0.16980000000000001</v>
      </c>
      <c r="S205" s="16">
        <f t="shared" si="6"/>
        <v>0.39526666666666666</v>
      </c>
      <c r="T205" s="18">
        <v>0.78386380458919303</v>
      </c>
      <c r="U205" s="1">
        <v>0</v>
      </c>
      <c r="V205" s="1">
        <f t="shared" si="7"/>
        <v>0</v>
      </c>
      <c r="W205" s="25"/>
      <c r="X205">
        <v>3.6299999999999999E-2</v>
      </c>
      <c r="Y205" s="1">
        <v>0.33189999999999997</v>
      </c>
      <c r="Z205" s="1">
        <v>0.28660000000000002</v>
      </c>
      <c r="AA205" s="1">
        <v>5297</v>
      </c>
      <c r="AB205" s="1">
        <v>53</v>
      </c>
      <c r="AC205" s="29">
        <v>973</v>
      </c>
    </row>
    <row r="206" spans="1:29">
      <c r="A206" s="12">
        <v>15</v>
      </c>
      <c r="B206" s="12" t="s">
        <v>216</v>
      </c>
      <c r="C206" s="12">
        <v>15106</v>
      </c>
      <c r="D206" s="12" t="s">
        <v>224</v>
      </c>
      <c r="E206" s="17">
        <v>0.91466083150984678</v>
      </c>
      <c r="F206" s="17">
        <v>8.5339168490153175E-2</v>
      </c>
      <c r="G206" s="13">
        <v>0.98618903754855414</v>
      </c>
      <c r="H206" s="13">
        <v>10.663265306122449</v>
      </c>
      <c r="I206" s="14">
        <v>7.7345588443547557</v>
      </c>
      <c r="J206" s="16">
        <v>0.82689999999999997</v>
      </c>
      <c r="K206" s="16">
        <v>0.82689999999999997</v>
      </c>
      <c r="L206" s="13">
        <v>0.48609999999999998</v>
      </c>
      <c r="M206" s="13">
        <v>8.2000000000000007E-3</v>
      </c>
      <c r="N206" s="13">
        <v>4.1000000000000002E-2</v>
      </c>
      <c r="O206" s="13">
        <v>5.1900000000000002E-2</v>
      </c>
      <c r="P206" s="16">
        <v>0.57440000000000002</v>
      </c>
      <c r="Q206" s="16">
        <v>0.23039999999999999</v>
      </c>
      <c r="R206" s="16">
        <v>0.23039999999999999</v>
      </c>
      <c r="S206" s="16">
        <f t="shared" si="6"/>
        <v>0.34506666666666663</v>
      </c>
      <c r="T206" s="18">
        <v>0.88624052004333609</v>
      </c>
      <c r="U206" s="1">
        <v>0</v>
      </c>
      <c r="V206" s="1">
        <f t="shared" si="7"/>
        <v>0</v>
      </c>
      <c r="W206" s="26"/>
      <c r="X206">
        <v>3.8899999999999997E-2</v>
      </c>
      <c r="Y206" s="1">
        <v>5.9900000000000002E-2</v>
      </c>
      <c r="Z206" s="1">
        <v>5.8200000000000002E-2</v>
      </c>
      <c r="AA206" s="1">
        <v>2247</v>
      </c>
      <c r="AB206" s="1">
        <v>9</v>
      </c>
      <c r="AC206" s="29">
        <v>395</v>
      </c>
    </row>
    <row r="207" spans="1:29">
      <c r="A207" s="12">
        <v>15</v>
      </c>
      <c r="B207" s="12" t="s">
        <v>216</v>
      </c>
      <c r="C207" s="12">
        <v>15109</v>
      </c>
      <c r="D207" s="12" t="s">
        <v>225</v>
      </c>
      <c r="E207" s="17">
        <v>0.92994562944374737</v>
      </c>
      <c r="F207" s="17">
        <v>7.0054370556252618E-2</v>
      </c>
      <c r="G207" s="13">
        <v>1</v>
      </c>
      <c r="H207" s="13">
        <v>13.235119047619047</v>
      </c>
      <c r="I207" s="14">
        <v>8.4728232436802973</v>
      </c>
      <c r="J207" s="16">
        <v>0.78559999999999997</v>
      </c>
      <c r="K207" s="16">
        <v>0.78559999999999997</v>
      </c>
      <c r="L207" s="13">
        <v>0.6835</v>
      </c>
      <c r="M207" s="13">
        <v>2.9399999999999999E-2</v>
      </c>
      <c r="N207" s="13">
        <v>5.8700000000000002E-2</v>
      </c>
      <c r="O207" s="13">
        <v>4.7E-2</v>
      </c>
      <c r="P207" s="16">
        <v>7.9000000000000001E-2</v>
      </c>
      <c r="Q207" s="16">
        <v>7.9000000000000001E-2</v>
      </c>
      <c r="R207" s="16">
        <v>1</v>
      </c>
      <c r="S207" s="16">
        <f t="shared" si="6"/>
        <v>0.38599999999999995</v>
      </c>
      <c r="T207" s="18">
        <v>0.92353754030400692</v>
      </c>
      <c r="U207" s="1">
        <v>34.482758619999998</v>
      </c>
      <c r="V207" s="1">
        <f t="shared" si="7"/>
        <v>3.5690469058281393</v>
      </c>
      <c r="W207" s="25"/>
      <c r="X207">
        <v>2.0199999999999999E-2</v>
      </c>
      <c r="Y207" s="1">
        <v>9.1800000000000007E-2</v>
      </c>
      <c r="Z207" s="1">
        <v>8.7800000000000003E-2</v>
      </c>
      <c r="AA207" s="1">
        <v>4509</v>
      </c>
      <c r="AB207" s="1">
        <v>29</v>
      </c>
      <c r="AC207" s="29">
        <v>777</v>
      </c>
    </row>
    <row r="208" spans="1:29">
      <c r="A208" s="12">
        <v>15</v>
      </c>
      <c r="B208" s="12" t="s">
        <v>216</v>
      </c>
      <c r="C208" s="12">
        <v>15114</v>
      </c>
      <c r="D208" s="12" t="s">
        <v>226</v>
      </c>
      <c r="E208" s="17">
        <v>0.62613065326633166</v>
      </c>
      <c r="F208" s="17">
        <v>0.37386934673366834</v>
      </c>
      <c r="G208" s="13">
        <v>0.82916666666666672</v>
      </c>
      <c r="H208" s="13">
        <v>1.6702412868632708</v>
      </c>
      <c r="I208" s="14">
        <v>6.9037472575845982</v>
      </c>
      <c r="J208" s="16">
        <v>0.65759999999999996</v>
      </c>
      <c r="K208" s="16">
        <v>0.65759999999999996</v>
      </c>
      <c r="L208" s="13">
        <v>0.26919999999999999</v>
      </c>
      <c r="M208" s="13">
        <v>2.2700000000000001E-2</v>
      </c>
      <c r="N208" s="13">
        <v>6.0600000000000001E-2</v>
      </c>
      <c r="O208" s="13">
        <v>9.0899999999999995E-2</v>
      </c>
      <c r="P208" s="16">
        <v>0.97370000000000001</v>
      </c>
      <c r="Q208" s="16">
        <v>1</v>
      </c>
      <c r="R208" s="16">
        <v>0.37369999999999998</v>
      </c>
      <c r="S208" s="16">
        <f t="shared" si="6"/>
        <v>0.78246666666666664</v>
      </c>
      <c r="T208" s="18">
        <v>0.52173913043478204</v>
      </c>
      <c r="U208" s="1">
        <v>0</v>
      </c>
      <c r="V208" s="1">
        <f t="shared" si="7"/>
        <v>0</v>
      </c>
      <c r="W208" s="26"/>
      <c r="X208">
        <v>3.8899999999999997E-2</v>
      </c>
      <c r="Y208" s="1">
        <v>0.44519999999999998</v>
      </c>
      <c r="Z208" s="1">
        <v>0.36820000000000003</v>
      </c>
      <c r="AA208" s="1">
        <v>1288</v>
      </c>
      <c r="AB208" s="1">
        <v>3</v>
      </c>
      <c r="AC208" s="29">
        <v>198</v>
      </c>
    </row>
    <row r="209" spans="1:29">
      <c r="A209" s="12">
        <v>15</v>
      </c>
      <c r="B209" s="12" t="s">
        <v>216</v>
      </c>
      <c r="C209" s="12">
        <v>15131</v>
      </c>
      <c r="D209" s="12" t="s">
        <v>38</v>
      </c>
      <c r="E209" s="17">
        <v>0.9186288088642659</v>
      </c>
      <c r="F209" s="17">
        <v>8.1371191135734072E-2</v>
      </c>
      <c r="G209" s="13">
        <v>0.86596701649175412</v>
      </c>
      <c r="H209" s="13">
        <v>11.241525423728813</v>
      </c>
      <c r="I209" s="14">
        <v>7.9686657004662349</v>
      </c>
      <c r="J209" s="16">
        <v>0.65969999999999995</v>
      </c>
      <c r="K209" s="16">
        <v>0.65969999999999995</v>
      </c>
      <c r="L209" s="13">
        <v>0.5</v>
      </c>
      <c r="M209" s="13">
        <v>2.6800000000000001E-2</v>
      </c>
      <c r="N209" s="13">
        <v>0.15010000000000001</v>
      </c>
      <c r="O209" s="13">
        <v>4.3900000000000002E-2</v>
      </c>
      <c r="P209" s="16">
        <v>1</v>
      </c>
      <c r="Q209" s="16">
        <v>1</v>
      </c>
      <c r="R209" s="16">
        <v>1</v>
      </c>
      <c r="S209" s="16">
        <f t="shared" si="6"/>
        <v>1</v>
      </c>
      <c r="T209" s="18">
        <v>0.78552631578947296</v>
      </c>
      <c r="U209" s="1">
        <v>0</v>
      </c>
      <c r="V209" s="1">
        <f t="shared" si="7"/>
        <v>0</v>
      </c>
      <c r="W209" s="25"/>
      <c r="X209">
        <v>4.1300000000000003E-2</v>
      </c>
      <c r="Y209" s="1">
        <v>0.14729999999999999</v>
      </c>
      <c r="Z209" s="1">
        <v>0.13739999999999999</v>
      </c>
      <c r="AA209" s="1">
        <v>2893</v>
      </c>
      <c r="AB209" s="1">
        <v>14</v>
      </c>
      <c r="AC209" s="29">
        <v>489</v>
      </c>
    </row>
    <row r="210" spans="1:29">
      <c r="A210" s="12">
        <v>15</v>
      </c>
      <c r="B210" s="12" t="s">
        <v>216</v>
      </c>
      <c r="C210" s="12">
        <v>15135</v>
      </c>
      <c r="D210" s="12" t="s">
        <v>227</v>
      </c>
      <c r="E210" s="17">
        <v>0.90431654676258988</v>
      </c>
      <c r="F210" s="17">
        <v>9.5683453237410065E-2</v>
      </c>
      <c r="G210" s="13">
        <v>0.84267959987875118</v>
      </c>
      <c r="H210" s="13">
        <v>9.4157303370786511</v>
      </c>
      <c r="I210" s="14">
        <v>7.930565854233965</v>
      </c>
      <c r="J210" s="16">
        <v>0.66610000000000003</v>
      </c>
      <c r="K210" s="16">
        <v>0.66610000000000003</v>
      </c>
      <c r="L210" s="13">
        <v>0.38779999999999998</v>
      </c>
      <c r="M210" s="13">
        <v>6.8999999999999999E-3</v>
      </c>
      <c r="N210" s="13">
        <v>3.6799999999999999E-2</v>
      </c>
      <c r="O210" s="13">
        <v>5.5199999999999999E-2</v>
      </c>
      <c r="P210" s="16">
        <v>1</v>
      </c>
      <c r="Q210" s="16">
        <v>1</v>
      </c>
      <c r="R210" s="16">
        <v>1</v>
      </c>
      <c r="S210" s="16">
        <f t="shared" si="6"/>
        <v>1</v>
      </c>
      <c r="T210" s="18">
        <v>0.73038842345773003</v>
      </c>
      <c r="U210" s="1">
        <v>50</v>
      </c>
      <c r="V210" s="1">
        <f t="shared" si="7"/>
        <v>3.9318256327243257</v>
      </c>
      <c r="W210" s="26"/>
      <c r="X210">
        <v>6.8400000000000002E-2</v>
      </c>
      <c r="Y210" s="1">
        <v>5.3699999999999998E-2</v>
      </c>
      <c r="Z210" s="1">
        <v>5.2299999999999999E-2</v>
      </c>
      <c r="AA210" s="1">
        <v>3186</v>
      </c>
      <c r="AB210" s="1">
        <v>20</v>
      </c>
      <c r="AC210" s="29">
        <v>606</v>
      </c>
    </row>
    <row r="211" spans="1:29">
      <c r="A211" s="12">
        <v>15</v>
      </c>
      <c r="B211" s="12" t="s">
        <v>216</v>
      </c>
      <c r="C211" s="12">
        <v>15162</v>
      </c>
      <c r="D211" s="12" t="s">
        <v>228</v>
      </c>
      <c r="E211" s="17">
        <v>0.7795086878370282</v>
      </c>
      <c r="F211" s="17">
        <v>0.22049131216297185</v>
      </c>
      <c r="G211" s="13">
        <v>0.84613434727503167</v>
      </c>
      <c r="H211" s="13">
        <v>3.5305291723202172</v>
      </c>
      <c r="I211" s="14">
        <v>8.1134266399436541</v>
      </c>
      <c r="J211" s="16">
        <v>0.77610000000000001</v>
      </c>
      <c r="K211" s="16">
        <v>0.77610000000000001</v>
      </c>
      <c r="L211" s="13">
        <v>0.55169999999999997</v>
      </c>
      <c r="M211" s="13">
        <v>6.0000000000000001E-3</v>
      </c>
      <c r="N211" s="13">
        <v>6.2399999999999997E-2</v>
      </c>
      <c r="O211" s="13">
        <v>6.0400000000000002E-2</v>
      </c>
      <c r="P211" s="16">
        <v>0.96660000000000001</v>
      </c>
      <c r="Q211" s="16">
        <v>0.27560000000000001</v>
      </c>
      <c r="R211" s="16">
        <v>0.99750000000000005</v>
      </c>
      <c r="S211" s="16">
        <f t="shared" si="6"/>
        <v>0.74656666666666671</v>
      </c>
      <c r="T211" s="18">
        <v>0.81063122923587994</v>
      </c>
      <c r="U211" s="1">
        <v>0</v>
      </c>
      <c r="V211" s="1">
        <f t="shared" si="7"/>
        <v>0</v>
      </c>
      <c r="W211" s="25"/>
      <c r="X211">
        <v>2.0400000000000001E-2</v>
      </c>
      <c r="Y211" s="1">
        <v>0.19639999999999999</v>
      </c>
      <c r="Z211" s="1">
        <v>0.17929999999999999</v>
      </c>
      <c r="AA211" s="1">
        <v>3583</v>
      </c>
      <c r="AB211" s="1">
        <v>18</v>
      </c>
      <c r="AC211" s="29">
        <v>545</v>
      </c>
    </row>
    <row r="212" spans="1:29">
      <c r="A212" s="12">
        <v>15</v>
      </c>
      <c r="B212" s="12" t="s">
        <v>216</v>
      </c>
      <c r="C212" s="12">
        <v>15172</v>
      </c>
      <c r="D212" s="12" t="s">
        <v>229</v>
      </c>
      <c r="E212" s="17">
        <v>0.90017094017094013</v>
      </c>
      <c r="F212" s="17">
        <v>9.9829059829059832E-2</v>
      </c>
      <c r="G212" s="13">
        <v>0.85726846424384529</v>
      </c>
      <c r="H212" s="13">
        <v>8.9863481228668949</v>
      </c>
      <c r="I212" s="14">
        <v>7.9813915815800698</v>
      </c>
      <c r="J212" s="16">
        <v>0.7964</v>
      </c>
      <c r="K212" s="16">
        <v>0.7964</v>
      </c>
      <c r="L212" s="13">
        <v>0.65480000000000005</v>
      </c>
      <c r="M212" s="13">
        <v>1.9E-2</v>
      </c>
      <c r="N212" s="13">
        <v>0.1114</v>
      </c>
      <c r="O212" s="13">
        <v>4.4999999999999998E-2</v>
      </c>
      <c r="P212" s="16">
        <v>0</v>
      </c>
      <c r="Q212" s="16">
        <v>0</v>
      </c>
      <c r="R212" s="16">
        <v>0</v>
      </c>
      <c r="S212" s="16">
        <f t="shared" si="6"/>
        <v>0</v>
      </c>
      <c r="T212" s="18">
        <v>0.74158730158730091</v>
      </c>
      <c r="U212" s="1">
        <v>0</v>
      </c>
      <c r="V212" s="1">
        <f t="shared" si="7"/>
        <v>0</v>
      </c>
      <c r="W212" s="26"/>
      <c r="X212">
        <v>3.6799999999999999E-2</v>
      </c>
      <c r="Y212" s="1">
        <v>5.4300000000000001E-2</v>
      </c>
      <c r="Z212" s="1">
        <v>5.2900000000000003E-2</v>
      </c>
      <c r="AA212" s="1">
        <v>3093</v>
      </c>
      <c r="AB212" s="1">
        <v>17</v>
      </c>
      <c r="AC212" s="29">
        <v>456</v>
      </c>
    </row>
    <row r="213" spans="1:29">
      <c r="A213" s="12">
        <v>15</v>
      </c>
      <c r="B213" s="12" t="s">
        <v>216</v>
      </c>
      <c r="C213" s="12">
        <v>15176</v>
      </c>
      <c r="D213" s="12" t="s">
        <v>230</v>
      </c>
      <c r="E213" s="17">
        <v>0.57697393418952803</v>
      </c>
      <c r="F213" s="17">
        <v>0.42299566836385744</v>
      </c>
      <c r="G213" s="13">
        <v>1</v>
      </c>
      <c r="H213" s="13">
        <v>1.3639695314745617</v>
      </c>
      <c r="I213" s="14">
        <v>11.094314325192048</v>
      </c>
      <c r="J213" s="16">
        <v>0.90529999999999999</v>
      </c>
      <c r="K213" s="16">
        <v>0.9042</v>
      </c>
      <c r="L213" s="13">
        <v>0.623</v>
      </c>
      <c r="M213" s="13">
        <v>1.9400000000000001E-2</v>
      </c>
      <c r="N213" s="13">
        <v>6.3700000000000007E-2</v>
      </c>
      <c r="O213" s="13">
        <v>5.9200000000000003E-2</v>
      </c>
      <c r="P213" s="16">
        <v>0.74280000000000002</v>
      </c>
      <c r="Q213" s="16">
        <v>0.50490000000000002</v>
      </c>
      <c r="R213" s="16">
        <v>0.67469999999999997</v>
      </c>
      <c r="S213" s="16">
        <f t="shared" si="6"/>
        <v>0.64080000000000004</v>
      </c>
      <c r="T213" s="18">
        <v>1</v>
      </c>
      <c r="U213" s="1">
        <v>3.5971223019999998</v>
      </c>
      <c r="V213" s="1">
        <f t="shared" si="7"/>
        <v>1.5254305212124142</v>
      </c>
      <c r="W213" s="25"/>
      <c r="X213">
        <v>0.1047</v>
      </c>
      <c r="Y213" s="1">
        <v>2.2425999999999999</v>
      </c>
      <c r="Z213" s="1">
        <v>1.1763999999999999</v>
      </c>
      <c r="AA213" s="1">
        <v>58135</v>
      </c>
      <c r="AB213" s="1">
        <v>556</v>
      </c>
      <c r="AC213" s="29">
        <v>11175</v>
      </c>
    </row>
    <row r="214" spans="1:29">
      <c r="A214" s="12">
        <v>15</v>
      </c>
      <c r="B214" s="12" t="s">
        <v>216</v>
      </c>
      <c r="C214" s="12">
        <v>15180</v>
      </c>
      <c r="D214" s="12" t="s">
        <v>232</v>
      </c>
      <c r="E214" s="17">
        <v>0.94373177842565603</v>
      </c>
      <c r="F214" s="17">
        <v>5.6268221574344024E-2</v>
      </c>
      <c r="G214" s="13">
        <v>0.81764004767580456</v>
      </c>
      <c r="H214" s="13">
        <v>16.685567010309278</v>
      </c>
      <c r="I214" s="14">
        <v>8.1406070428584503</v>
      </c>
      <c r="J214" s="16">
        <v>0.76480000000000004</v>
      </c>
      <c r="K214" s="16">
        <v>0.76480000000000004</v>
      </c>
      <c r="L214" s="13">
        <v>0.59060000000000001</v>
      </c>
      <c r="M214" s="13">
        <v>1.06E-2</v>
      </c>
      <c r="N214" s="13">
        <v>2.12E-2</v>
      </c>
      <c r="O214" s="13">
        <v>2.3E-2</v>
      </c>
      <c r="P214" s="16">
        <v>0.57609999999999995</v>
      </c>
      <c r="Q214" s="16">
        <v>0.18059999999999998</v>
      </c>
      <c r="R214" s="16">
        <v>0.28710000000000002</v>
      </c>
      <c r="S214" s="16">
        <f t="shared" si="6"/>
        <v>0.34793333333333337</v>
      </c>
      <c r="T214" s="18">
        <v>0.75729166666666603</v>
      </c>
      <c r="U214" s="1">
        <v>0</v>
      </c>
      <c r="V214" s="1">
        <f t="shared" si="7"/>
        <v>0</v>
      </c>
      <c r="W214" s="25"/>
      <c r="X214">
        <v>1.7399999999999999E-2</v>
      </c>
      <c r="Y214" s="1">
        <v>1.8499999999999999E-2</v>
      </c>
      <c r="Z214" s="1">
        <v>1.83E-2</v>
      </c>
      <c r="AA214" s="1">
        <v>4078</v>
      </c>
      <c r="AB214" s="1">
        <v>21</v>
      </c>
      <c r="AC214" s="29">
        <v>696</v>
      </c>
    </row>
    <row r="215" spans="1:29">
      <c r="A215" s="12">
        <v>15</v>
      </c>
      <c r="B215" s="12" t="s">
        <v>216</v>
      </c>
      <c r="C215" s="12">
        <v>15183</v>
      </c>
      <c r="D215" s="12" t="s">
        <v>233</v>
      </c>
      <c r="E215" s="17">
        <v>0.92259296708235028</v>
      </c>
      <c r="F215" s="17">
        <v>7.7407032917649707E-2</v>
      </c>
      <c r="G215" s="13">
        <v>1</v>
      </c>
      <c r="H215" s="13">
        <v>11.901449275362319</v>
      </c>
      <c r="I215" s="14">
        <v>9.0940312495757993</v>
      </c>
      <c r="J215" s="16">
        <v>0.77739999999999998</v>
      </c>
      <c r="K215" s="16">
        <v>0.77739999999999998</v>
      </c>
      <c r="L215" s="13">
        <v>0.56310000000000004</v>
      </c>
      <c r="M215" s="13">
        <v>2.8299999999999999E-2</v>
      </c>
      <c r="N215" s="13">
        <v>5.3999999999999999E-2</v>
      </c>
      <c r="O215" s="13">
        <v>3.73E-2</v>
      </c>
      <c r="P215" s="16">
        <v>0.60919999999999996</v>
      </c>
      <c r="Q215" s="16">
        <v>0.2243</v>
      </c>
      <c r="R215" s="16">
        <v>0.29120000000000001</v>
      </c>
      <c r="S215" s="16">
        <f t="shared" si="6"/>
        <v>0.37489999999999996</v>
      </c>
      <c r="T215" s="18">
        <v>0.49117023781492797</v>
      </c>
      <c r="U215" s="1">
        <v>0</v>
      </c>
      <c r="V215" s="1">
        <f t="shared" si="7"/>
        <v>0</v>
      </c>
      <c r="W215" s="26"/>
      <c r="X215">
        <v>2.8899999999999999E-2</v>
      </c>
      <c r="Y215" s="1">
        <v>2.8799999999999999E-2</v>
      </c>
      <c r="Z215" s="1">
        <v>2.8400000000000002E-2</v>
      </c>
      <c r="AA215" s="1">
        <v>8239</v>
      </c>
      <c r="AB215" s="1">
        <v>61</v>
      </c>
      <c r="AC215" s="29">
        <v>1861</v>
      </c>
    </row>
    <row r="216" spans="1:29">
      <c r="A216" s="12">
        <v>15</v>
      </c>
      <c r="B216" s="12" t="s">
        <v>216</v>
      </c>
      <c r="C216" s="12">
        <v>15185</v>
      </c>
      <c r="D216" s="12" t="s">
        <v>234</v>
      </c>
      <c r="E216" s="17">
        <v>0.93957307060755335</v>
      </c>
      <c r="F216" s="17">
        <v>6.0426929392446635E-2</v>
      </c>
      <c r="G216" s="13">
        <v>0.97815611949887571</v>
      </c>
      <c r="H216" s="13">
        <v>15.506775067750677</v>
      </c>
      <c r="I216" s="14">
        <v>8.7145675508364846</v>
      </c>
      <c r="J216" s="16">
        <v>0.70420000000000005</v>
      </c>
      <c r="K216" s="16">
        <v>0.70420000000000005</v>
      </c>
      <c r="L216" s="13">
        <v>0.41670000000000001</v>
      </c>
      <c r="M216" s="13">
        <v>5.1700000000000003E-2</v>
      </c>
      <c r="N216" s="13">
        <v>5.96E-2</v>
      </c>
      <c r="O216" s="13">
        <v>3.3300000000000003E-2</v>
      </c>
      <c r="P216" s="16">
        <v>0.22670000000000001</v>
      </c>
      <c r="Q216" s="16">
        <v>0.16789999999999999</v>
      </c>
      <c r="R216" s="16">
        <v>0.16789999999999999</v>
      </c>
      <c r="S216" s="16">
        <f t="shared" si="6"/>
        <v>0.1875</v>
      </c>
      <c r="T216" s="18">
        <v>0.82837640175524097</v>
      </c>
      <c r="U216" s="1">
        <v>25.641025639999999</v>
      </c>
      <c r="V216" s="1">
        <f t="shared" si="7"/>
        <v>3.2824523449310825</v>
      </c>
      <c r="W216" s="25"/>
      <c r="X216">
        <v>4.4200000000000003E-2</v>
      </c>
      <c r="Y216" s="1">
        <v>5.7099999999999998E-2</v>
      </c>
      <c r="Z216" s="1">
        <v>5.5500000000000001E-2</v>
      </c>
      <c r="AA216" s="1">
        <v>5961</v>
      </c>
      <c r="AB216" s="1">
        <v>39</v>
      </c>
      <c r="AC216" s="29">
        <v>1118</v>
      </c>
    </row>
    <row r="217" spans="1:29">
      <c r="A217" s="12">
        <v>15</v>
      </c>
      <c r="B217" s="12" t="s">
        <v>216</v>
      </c>
      <c r="C217" s="12">
        <v>15187</v>
      </c>
      <c r="D217" s="12" t="s">
        <v>235</v>
      </c>
      <c r="E217" s="17">
        <v>0.81746626686656676</v>
      </c>
      <c r="F217" s="17">
        <v>0.1825337331334333</v>
      </c>
      <c r="G217" s="13">
        <v>0.89081803005008342</v>
      </c>
      <c r="H217" s="13">
        <v>4.4692622950819674</v>
      </c>
      <c r="I217" s="14">
        <v>7.8894591494045239</v>
      </c>
      <c r="J217" s="16">
        <v>0.71540000000000004</v>
      </c>
      <c r="K217" s="16">
        <v>0.71540000000000004</v>
      </c>
      <c r="L217" s="13">
        <v>0.3483</v>
      </c>
      <c r="M217" s="13">
        <v>2.1600000000000001E-2</v>
      </c>
      <c r="N217" s="13">
        <v>0.1188</v>
      </c>
      <c r="O217" s="13">
        <v>5.1799999999999999E-2</v>
      </c>
      <c r="P217" s="16">
        <v>1</v>
      </c>
      <c r="Q217" s="16">
        <v>0.19589999999999999</v>
      </c>
      <c r="R217" s="16">
        <v>0.19589999999999999</v>
      </c>
      <c r="S217" s="16">
        <f t="shared" si="6"/>
        <v>0.46393333333333331</v>
      </c>
      <c r="T217" s="18">
        <v>1</v>
      </c>
      <c r="U217" s="1">
        <v>0</v>
      </c>
      <c r="V217" s="1">
        <f t="shared" si="7"/>
        <v>0</v>
      </c>
      <c r="W217" s="26"/>
      <c r="X217">
        <v>4.9399999999999999E-2</v>
      </c>
      <c r="Y217" s="1">
        <v>0.6149</v>
      </c>
      <c r="Z217" s="1">
        <v>0.47920000000000001</v>
      </c>
      <c r="AA217" s="1">
        <v>2858</v>
      </c>
      <c r="AB217" s="1">
        <v>26</v>
      </c>
      <c r="AC217" s="29">
        <v>578</v>
      </c>
    </row>
    <row r="218" spans="1:29">
      <c r="A218" s="12">
        <v>15</v>
      </c>
      <c r="B218" s="12" t="s">
        <v>216</v>
      </c>
      <c r="C218" s="12">
        <v>15189</v>
      </c>
      <c r="D218" s="12" t="s">
        <v>237</v>
      </c>
      <c r="E218" s="17">
        <v>0.92121922626025787</v>
      </c>
      <c r="F218" s="17">
        <v>7.8780773739742085E-2</v>
      </c>
      <c r="G218" s="13">
        <v>0.85935925851299622</v>
      </c>
      <c r="H218" s="13">
        <v>11.658753709198812</v>
      </c>
      <c r="I218" s="14">
        <v>8.3584318990312951</v>
      </c>
      <c r="J218" s="16">
        <v>0.81299999999999994</v>
      </c>
      <c r="K218" s="16">
        <v>0.81299999999999994</v>
      </c>
      <c r="L218" s="13">
        <v>0.63759999999999994</v>
      </c>
      <c r="M218" s="13">
        <v>1.6299999999999999E-2</v>
      </c>
      <c r="N218" s="13">
        <v>3.5200000000000002E-2</v>
      </c>
      <c r="O218" s="13">
        <v>1.38E-2</v>
      </c>
      <c r="P218" s="16">
        <v>1</v>
      </c>
      <c r="Q218" s="16">
        <v>0.19059999999999999</v>
      </c>
      <c r="R218" s="16">
        <v>0.19059999999999999</v>
      </c>
      <c r="S218" s="16">
        <f t="shared" si="6"/>
        <v>0.46039999999999992</v>
      </c>
      <c r="T218" s="18">
        <v>0.921544209215442</v>
      </c>
      <c r="U218" s="1">
        <v>30.3030303</v>
      </c>
      <c r="V218" s="1">
        <f t="shared" si="7"/>
        <v>3.4437149075563527</v>
      </c>
      <c r="W218" s="26"/>
      <c r="X218">
        <v>5.4600000000000003E-2</v>
      </c>
      <c r="Y218" s="1">
        <v>0.7843</v>
      </c>
      <c r="Z218" s="1">
        <v>0.57899999999999996</v>
      </c>
      <c r="AA218" s="1">
        <v>4535</v>
      </c>
      <c r="AB218" s="1">
        <v>33</v>
      </c>
      <c r="AC218" s="29">
        <v>865</v>
      </c>
    </row>
    <row r="219" spans="1:29">
      <c r="A219" s="12">
        <v>15</v>
      </c>
      <c r="B219" s="12" t="s">
        <v>216</v>
      </c>
      <c r="C219" s="12">
        <v>15204</v>
      </c>
      <c r="D219" s="12" t="s">
        <v>238</v>
      </c>
      <c r="E219" s="17">
        <v>0.8731535756154748</v>
      </c>
      <c r="F219" s="17">
        <v>0.1268464243845252</v>
      </c>
      <c r="G219" s="13">
        <v>0.60754985754985757</v>
      </c>
      <c r="H219" s="13">
        <v>6.8771929824561404</v>
      </c>
      <c r="I219" s="14">
        <v>9.0514618669086939</v>
      </c>
      <c r="J219" s="16">
        <v>0.95330000000000004</v>
      </c>
      <c r="K219" s="16">
        <v>0.95330000000000004</v>
      </c>
      <c r="L219" s="13">
        <v>0.621</v>
      </c>
      <c r="M219" s="13">
        <v>3.2399999999999998E-2</v>
      </c>
      <c r="N219" s="13">
        <v>7.9399999999999998E-2</v>
      </c>
      <c r="O219" s="13">
        <v>2.6200000000000001E-2</v>
      </c>
      <c r="P219" s="16">
        <v>0.36099999999999999</v>
      </c>
      <c r="Q219" s="16">
        <v>2.8900000000000002E-2</v>
      </c>
      <c r="R219" s="16">
        <v>8.5000000000000006E-2</v>
      </c>
      <c r="S219" s="16">
        <f t="shared" si="6"/>
        <v>0.1583</v>
      </c>
      <c r="T219" s="18">
        <v>1</v>
      </c>
      <c r="U219" s="1">
        <v>0</v>
      </c>
      <c r="V219" s="1">
        <f t="shared" si="7"/>
        <v>0</v>
      </c>
      <c r="W219" s="25"/>
      <c r="X219">
        <v>0.15659999999999999</v>
      </c>
      <c r="Y219" s="1">
        <v>0.76470000000000005</v>
      </c>
      <c r="Z219" s="1">
        <v>0.56799999999999995</v>
      </c>
      <c r="AA219" s="1">
        <v>13473</v>
      </c>
      <c r="AB219" s="1">
        <v>71</v>
      </c>
      <c r="AC219" s="29">
        <v>1815</v>
      </c>
    </row>
    <row r="220" spans="1:29">
      <c r="A220" s="12">
        <v>15</v>
      </c>
      <c r="B220" s="12" t="s">
        <v>216</v>
      </c>
      <c r="C220" s="12">
        <v>15212</v>
      </c>
      <c r="D220" s="12" t="s">
        <v>239</v>
      </c>
      <c r="E220" s="17">
        <v>0.91446238406046032</v>
      </c>
      <c r="F220" s="17">
        <v>8.553761593953968E-2</v>
      </c>
      <c r="G220" s="13">
        <v>0.75965553235908145</v>
      </c>
      <c r="H220" s="13">
        <v>10.648</v>
      </c>
      <c r="I220" s="14">
        <v>7.9765954093165767</v>
      </c>
      <c r="J220" s="16">
        <v>0.62780000000000002</v>
      </c>
      <c r="K220" s="16">
        <v>0.62780000000000002</v>
      </c>
      <c r="L220" s="13">
        <v>0.2883</v>
      </c>
      <c r="M220" s="13">
        <v>1.8599999999999998E-2</v>
      </c>
      <c r="N220" s="13">
        <v>7.8899999999999998E-2</v>
      </c>
      <c r="O220" s="13">
        <v>4.87E-2</v>
      </c>
      <c r="P220" s="16">
        <v>1</v>
      </c>
      <c r="Q220" s="16">
        <v>0.15039999999999998</v>
      </c>
      <c r="R220" s="16">
        <v>0.1507</v>
      </c>
      <c r="S220" s="16">
        <f t="shared" si="6"/>
        <v>0.43369999999999997</v>
      </c>
      <c r="T220" s="18">
        <v>0.88098591549295702</v>
      </c>
      <c r="U220" s="1">
        <v>0</v>
      </c>
      <c r="V220" s="1">
        <f t="shared" si="7"/>
        <v>0</v>
      </c>
      <c r="W220" s="26"/>
      <c r="X220">
        <v>6.5000000000000002E-2</v>
      </c>
      <c r="Y220" s="1">
        <v>2.6200000000000001E-2</v>
      </c>
      <c r="Z220" s="1">
        <v>2.58E-2</v>
      </c>
      <c r="AA220" s="1">
        <v>3513</v>
      </c>
      <c r="AB220" s="1">
        <v>10</v>
      </c>
      <c r="AC220" s="29">
        <v>608</v>
      </c>
    </row>
    <row r="221" spans="1:29">
      <c r="A221" s="12">
        <v>15</v>
      </c>
      <c r="B221" s="12" t="s">
        <v>216</v>
      </c>
      <c r="C221" s="12">
        <v>15215</v>
      </c>
      <c r="D221" s="12" t="s">
        <v>240</v>
      </c>
      <c r="E221" s="17">
        <v>0.66282565130260518</v>
      </c>
      <c r="F221" s="17">
        <v>0.33717434869739477</v>
      </c>
      <c r="G221" s="13">
        <v>0.74644727000747946</v>
      </c>
      <c r="H221" s="13">
        <v>1.9629080118694362</v>
      </c>
      <c r="I221" s="14">
        <v>7.5994013334158153</v>
      </c>
      <c r="J221" s="16">
        <v>0.94469999999999998</v>
      </c>
      <c r="K221" s="16">
        <v>0.94469999999999998</v>
      </c>
      <c r="L221" s="13">
        <v>0.48649999999999999</v>
      </c>
      <c r="M221" s="13">
        <v>2.7199999999999998E-2</v>
      </c>
      <c r="N221" s="13">
        <v>7.1800000000000003E-2</v>
      </c>
      <c r="O221" s="13">
        <v>5.9400000000000001E-2</v>
      </c>
      <c r="P221" s="16">
        <v>0.27560000000000001</v>
      </c>
      <c r="Q221" s="16">
        <v>0.23780000000000001</v>
      </c>
      <c r="R221" s="16">
        <v>0.23730000000000001</v>
      </c>
      <c r="S221" s="16">
        <f t="shared" si="6"/>
        <v>0.25023333333333336</v>
      </c>
      <c r="T221" s="18">
        <v>1</v>
      </c>
      <c r="U221" s="1">
        <v>0</v>
      </c>
      <c r="V221" s="1">
        <f t="shared" si="7"/>
        <v>0</v>
      </c>
      <c r="W221" s="25"/>
      <c r="X221">
        <v>0.28489999999999999</v>
      </c>
      <c r="Y221" s="1">
        <v>1.2829999999999999</v>
      </c>
      <c r="Z221" s="1">
        <v>0.82550000000000001</v>
      </c>
      <c r="AA221" s="1">
        <v>2561</v>
      </c>
      <c r="AB221" s="1">
        <v>21</v>
      </c>
      <c r="AC221" s="29">
        <v>417</v>
      </c>
    </row>
    <row r="222" spans="1:29">
      <c r="A222" s="12">
        <v>15</v>
      </c>
      <c r="B222" s="12" t="s">
        <v>216</v>
      </c>
      <c r="C222" s="12">
        <v>15218</v>
      </c>
      <c r="D222" s="12" t="s">
        <v>241</v>
      </c>
      <c r="E222" s="17">
        <v>0.93710493046776233</v>
      </c>
      <c r="F222" s="17">
        <v>6.2895069532237668E-2</v>
      </c>
      <c r="G222" s="13">
        <v>1</v>
      </c>
      <c r="H222" s="13">
        <v>14.824999999999999</v>
      </c>
      <c r="I222" s="14">
        <v>8.0599083345782763</v>
      </c>
      <c r="J222" s="16">
        <v>0.76839999999999997</v>
      </c>
      <c r="K222" s="16">
        <v>0.76839999999999997</v>
      </c>
      <c r="L222" s="13">
        <v>0.53010000000000002</v>
      </c>
      <c r="M222" s="13">
        <v>1.3899999999999999E-2</v>
      </c>
      <c r="N222" s="13">
        <v>4.6399999999999997E-2</v>
      </c>
      <c r="O222" s="13">
        <v>2.3199999999999998E-2</v>
      </c>
      <c r="P222" s="16">
        <v>0.57369999999999999</v>
      </c>
      <c r="Q222" s="16">
        <v>0.10199999999999999</v>
      </c>
      <c r="R222" s="16">
        <v>0.10199999999999999</v>
      </c>
      <c r="S222" s="16">
        <f t="shared" si="6"/>
        <v>0.25923333333333332</v>
      </c>
      <c r="T222" s="18">
        <v>0.64259121370067007</v>
      </c>
      <c r="U222" s="1">
        <v>0</v>
      </c>
      <c r="V222" s="1">
        <f t="shared" si="7"/>
        <v>0</v>
      </c>
      <c r="W222" s="26"/>
      <c r="X222">
        <v>4.3400000000000001E-2</v>
      </c>
      <c r="Y222" s="1">
        <v>5.8799999999999998E-2</v>
      </c>
      <c r="Z222" s="1">
        <v>5.7200000000000001E-2</v>
      </c>
      <c r="AA222" s="1">
        <v>2873</v>
      </c>
      <c r="AB222" s="1">
        <v>18</v>
      </c>
      <c r="AC222" s="29">
        <v>485</v>
      </c>
    </row>
    <row r="223" spans="1:29">
      <c r="A223" s="12">
        <v>15</v>
      </c>
      <c r="B223" s="12" t="s">
        <v>216</v>
      </c>
      <c r="C223" s="12">
        <v>15223</v>
      </c>
      <c r="D223" s="12" t="s">
        <v>242</v>
      </c>
      <c r="E223" s="17">
        <v>0.89777551366955344</v>
      </c>
      <c r="F223" s="17">
        <v>0.10222448633044659</v>
      </c>
      <c r="G223" s="13">
        <v>1</v>
      </c>
      <c r="H223" s="13">
        <v>8.7751037344398348</v>
      </c>
      <c r="I223" s="14">
        <v>9.3740735639587847</v>
      </c>
      <c r="J223" s="16">
        <v>0.43859999999999999</v>
      </c>
      <c r="K223" s="16">
        <v>0.43859999999999999</v>
      </c>
      <c r="L223" s="13">
        <v>0.18049999999999999</v>
      </c>
      <c r="M223" s="13">
        <v>4.9700000000000001E-2</v>
      </c>
      <c r="N223" s="13">
        <v>0.1477</v>
      </c>
      <c r="O223" s="13">
        <v>0.12189999999999999</v>
      </c>
      <c r="P223" s="16">
        <v>0.95169999999999999</v>
      </c>
      <c r="Q223" s="16">
        <v>0.57090000000000007</v>
      </c>
      <c r="R223" s="16">
        <v>0.61439999999999995</v>
      </c>
      <c r="S223" s="16">
        <f t="shared" si="6"/>
        <v>0.71233333333333337</v>
      </c>
      <c r="T223" s="18">
        <v>0.39574283231972102</v>
      </c>
      <c r="U223" s="1">
        <v>31.496062989999999</v>
      </c>
      <c r="V223" s="1">
        <f t="shared" si="7"/>
        <v>3.4811189432285676</v>
      </c>
      <c r="W223" s="25"/>
      <c r="X223">
        <v>2.3E-2</v>
      </c>
      <c r="Y223" s="1">
        <v>3.1399999999999997E-2</v>
      </c>
      <c r="Z223" s="1">
        <v>3.09E-2</v>
      </c>
      <c r="AA223" s="1">
        <v>12974</v>
      </c>
      <c r="AB223" s="1">
        <v>127</v>
      </c>
      <c r="AC223" s="29">
        <v>3620</v>
      </c>
    </row>
    <row r="224" spans="1:29">
      <c r="A224" s="12">
        <v>15</v>
      </c>
      <c r="B224" s="12" t="s">
        <v>216</v>
      </c>
      <c r="C224" s="12">
        <v>15224</v>
      </c>
      <c r="D224" s="12" t="s">
        <v>243</v>
      </c>
      <c r="E224" s="17">
        <v>0.88092550790067725</v>
      </c>
      <c r="F224" s="17">
        <v>0.1190744920993228</v>
      </c>
      <c r="G224" s="13">
        <v>0.88159203980099499</v>
      </c>
      <c r="H224" s="13">
        <v>7.3806146572104021</v>
      </c>
      <c r="I224" s="14">
        <v>8.173293438966228</v>
      </c>
      <c r="J224" s="16">
        <v>0.79949999999999999</v>
      </c>
      <c r="K224" s="16">
        <v>0.79949999999999999</v>
      </c>
      <c r="L224" s="13">
        <v>0.5827</v>
      </c>
      <c r="M224" s="13">
        <v>1.4E-2</v>
      </c>
      <c r="N224" s="13">
        <v>7.6399999999999996E-2</v>
      </c>
      <c r="O224" s="13">
        <v>6.8599999999999994E-2</v>
      </c>
      <c r="P224" s="16">
        <v>0.94019999999999992</v>
      </c>
      <c r="Q224" s="16">
        <v>0.30230000000000001</v>
      </c>
      <c r="R224" s="16">
        <v>0.30230000000000001</v>
      </c>
      <c r="S224" s="16">
        <f t="shared" si="6"/>
        <v>0.51493333333333335</v>
      </c>
      <c r="T224" s="18">
        <v>0.97070707070706996</v>
      </c>
      <c r="U224" s="1">
        <v>0</v>
      </c>
      <c r="V224" s="1">
        <f t="shared" si="7"/>
        <v>0</v>
      </c>
      <c r="W224" s="26"/>
      <c r="X224">
        <v>3.5900000000000001E-2</v>
      </c>
      <c r="Y224" s="1">
        <v>0.55310000000000004</v>
      </c>
      <c r="Z224" s="1">
        <v>0.44019999999999998</v>
      </c>
      <c r="AA224" s="1">
        <v>3801</v>
      </c>
      <c r="AB224" s="1">
        <v>33</v>
      </c>
      <c r="AC224" s="29">
        <v>712</v>
      </c>
    </row>
    <row r="225" spans="1:29">
      <c r="A225" s="12">
        <v>15</v>
      </c>
      <c r="B225" s="12" t="s">
        <v>216</v>
      </c>
      <c r="C225" s="12">
        <v>15226</v>
      </c>
      <c r="D225" s="12" t="s">
        <v>244</v>
      </c>
      <c r="E225" s="17">
        <v>0.90807307012374783</v>
      </c>
      <c r="F225" s="17">
        <v>9.1926929876252214E-2</v>
      </c>
      <c r="G225" s="13">
        <v>0.8884816753926702</v>
      </c>
      <c r="H225" s="13">
        <v>9.8152866242038215</v>
      </c>
      <c r="I225" s="14">
        <v>7.4372063668712922</v>
      </c>
      <c r="J225" s="16">
        <v>0.77959999999999996</v>
      </c>
      <c r="K225" s="16">
        <v>0.77959999999999996</v>
      </c>
      <c r="L225" s="13">
        <v>0.70909999999999995</v>
      </c>
      <c r="M225" s="13">
        <v>1.3100000000000001E-2</v>
      </c>
      <c r="N225" s="13">
        <v>6.8900000000000003E-2</v>
      </c>
      <c r="O225" s="13">
        <v>9.5100000000000004E-2</v>
      </c>
      <c r="P225" s="16">
        <v>0.68069999999999997</v>
      </c>
      <c r="Q225" s="16">
        <v>0.1134</v>
      </c>
      <c r="R225" s="16">
        <v>0.1134</v>
      </c>
      <c r="S225" s="16">
        <f t="shared" si="6"/>
        <v>0.30249999999999999</v>
      </c>
      <c r="T225" s="18">
        <v>0.8892438764643229</v>
      </c>
      <c r="U225" s="1">
        <v>0</v>
      </c>
      <c r="V225" s="1">
        <f t="shared" si="7"/>
        <v>0</v>
      </c>
      <c r="W225" s="25"/>
      <c r="X225">
        <v>7.0800000000000002E-2</v>
      </c>
      <c r="Y225" s="1">
        <v>0.55130000000000001</v>
      </c>
      <c r="Z225" s="1">
        <v>0.43909999999999999</v>
      </c>
      <c r="AA225" s="1">
        <v>1837</v>
      </c>
      <c r="AB225" s="1">
        <v>16</v>
      </c>
      <c r="AC225" s="29">
        <v>345</v>
      </c>
    </row>
    <row r="226" spans="1:29">
      <c r="A226" s="12">
        <v>15</v>
      </c>
      <c r="B226" s="12" t="s">
        <v>216</v>
      </c>
      <c r="C226" s="12">
        <v>15232</v>
      </c>
      <c r="D226" s="12" t="s">
        <v>231</v>
      </c>
      <c r="E226" s="17">
        <v>0.94116360454943138</v>
      </c>
      <c r="F226" s="17">
        <v>5.8836395450568679E-2</v>
      </c>
      <c r="G226" s="13">
        <v>0.90966971746916037</v>
      </c>
      <c r="H226" s="13">
        <v>15.937037037037037</v>
      </c>
      <c r="I226" s="14">
        <v>8.4279247236580552</v>
      </c>
      <c r="J226" s="16">
        <v>0.62939999999999996</v>
      </c>
      <c r="K226" s="16">
        <v>0.62939999999999996</v>
      </c>
      <c r="L226" s="13">
        <v>0.43309999999999998</v>
      </c>
      <c r="M226" s="13">
        <v>1.41E-2</v>
      </c>
      <c r="N226" s="13">
        <v>2.6599999999999999E-2</v>
      </c>
      <c r="O226" s="13">
        <v>4.6899999999999997E-2</v>
      </c>
      <c r="P226" s="16">
        <v>1</v>
      </c>
      <c r="Q226" s="16">
        <v>0.28670000000000001</v>
      </c>
      <c r="R226" s="16">
        <v>0.28670000000000001</v>
      </c>
      <c r="S226" s="16">
        <f t="shared" si="6"/>
        <v>0.52446666666666664</v>
      </c>
      <c r="T226" s="18">
        <v>0.76124197002141303</v>
      </c>
      <c r="U226" s="1">
        <v>0</v>
      </c>
      <c r="V226" s="1">
        <f t="shared" si="7"/>
        <v>0</v>
      </c>
      <c r="W226" s="26"/>
      <c r="X226">
        <v>1.7500000000000002E-2</v>
      </c>
      <c r="Y226" s="1">
        <v>0.1303</v>
      </c>
      <c r="Z226" s="1">
        <v>0.1225</v>
      </c>
      <c r="AA226" s="1">
        <v>4813</v>
      </c>
      <c r="AB226" s="1">
        <v>38</v>
      </c>
      <c r="AC226" s="29">
        <v>920</v>
      </c>
    </row>
    <row r="227" spans="1:29">
      <c r="A227" s="12">
        <v>15</v>
      </c>
      <c r="B227" s="12" t="s">
        <v>216</v>
      </c>
      <c r="C227" s="12">
        <v>15236</v>
      </c>
      <c r="D227" s="12" t="s">
        <v>236</v>
      </c>
      <c r="E227" s="17">
        <v>0.90049751243781095</v>
      </c>
      <c r="F227" s="17">
        <v>9.950248756218906E-2</v>
      </c>
      <c r="G227" s="13">
        <v>0.75450450450450446</v>
      </c>
      <c r="H227" s="13">
        <v>9.0049751243781095</v>
      </c>
      <c r="I227" s="14">
        <v>7.6063873897726522</v>
      </c>
      <c r="J227" s="16">
        <v>0.60650000000000004</v>
      </c>
      <c r="K227" s="16">
        <v>0.60650000000000004</v>
      </c>
      <c r="L227" s="13">
        <v>0.41560000000000002</v>
      </c>
      <c r="M227" s="13">
        <v>0.03</v>
      </c>
      <c r="N227" s="13">
        <v>0.12</v>
      </c>
      <c r="O227" s="13">
        <v>3.6700000000000003E-2</v>
      </c>
      <c r="P227" s="16">
        <v>0.61170000000000002</v>
      </c>
      <c r="Q227" s="16">
        <v>0.13269999999999998</v>
      </c>
      <c r="R227" s="16">
        <v>0.2036</v>
      </c>
      <c r="S227" s="16">
        <f t="shared" si="6"/>
        <v>0.316</v>
      </c>
      <c r="T227" s="18">
        <v>0.63004172461752395</v>
      </c>
      <c r="U227" s="1">
        <v>0</v>
      </c>
      <c r="V227" s="1">
        <f t="shared" si="7"/>
        <v>0</v>
      </c>
      <c r="W227" s="25"/>
      <c r="X227">
        <v>4.2999999999999997E-2</v>
      </c>
      <c r="Y227" s="1">
        <v>8.7400000000000005E-2</v>
      </c>
      <c r="Z227" s="1">
        <v>8.3799999999999999E-2</v>
      </c>
      <c r="AA227" s="1">
        <v>2702</v>
      </c>
      <c r="AB227" s="1">
        <v>17</v>
      </c>
      <c r="AC227" s="29">
        <v>458</v>
      </c>
    </row>
    <row r="228" spans="1:29">
      <c r="A228" s="12">
        <v>15</v>
      </c>
      <c r="B228" s="12" t="s">
        <v>216</v>
      </c>
      <c r="C228" s="12">
        <v>15238</v>
      </c>
      <c r="D228" s="12" t="s">
        <v>245</v>
      </c>
      <c r="E228" s="17">
        <v>0.42918810748999431</v>
      </c>
      <c r="F228" s="17">
        <v>0.57081189251000575</v>
      </c>
      <c r="G228" s="13">
        <v>1</v>
      </c>
      <c r="H228" s="13">
        <v>0.75188120547396364</v>
      </c>
      <c r="I228" s="14">
        <v>11.848833256608053</v>
      </c>
      <c r="J228" s="16">
        <v>0.95250000000000001</v>
      </c>
      <c r="K228" s="16">
        <v>0.95179999999999998</v>
      </c>
      <c r="L228" s="13">
        <v>0.67190000000000005</v>
      </c>
      <c r="M228" s="13">
        <v>2.2200000000000001E-2</v>
      </c>
      <c r="N228" s="13">
        <v>7.1999999999999995E-2</v>
      </c>
      <c r="O228" s="13">
        <v>6.3100000000000003E-2</v>
      </c>
      <c r="P228" s="16">
        <v>0.9706999999999999</v>
      </c>
      <c r="Q228" s="16">
        <v>0.83129999999999993</v>
      </c>
      <c r="R228" s="16">
        <v>0.82719999999999994</v>
      </c>
      <c r="S228" s="16">
        <f t="shared" si="6"/>
        <v>0.87639999999999996</v>
      </c>
      <c r="T228" s="18">
        <v>1</v>
      </c>
      <c r="U228" s="1">
        <v>8.9126559709999995</v>
      </c>
      <c r="V228" s="1">
        <f t="shared" si="7"/>
        <v>2.2938123216164952</v>
      </c>
      <c r="W228" s="26"/>
      <c r="X228">
        <v>0.1444</v>
      </c>
      <c r="Y228" s="1">
        <v>3.5131999999999999</v>
      </c>
      <c r="Z228" s="1">
        <v>1.5069999999999999</v>
      </c>
      <c r="AA228" s="1">
        <v>134425</v>
      </c>
      <c r="AB228" s="1">
        <v>1122</v>
      </c>
      <c r="AC228" s="29">
        <v>22593</v>
      </c>
    </row>
    <row r="229" spans="1:29">
      <c r="A229" s="12">
        <v>15</v>
      </c>
      <c r="B229" s="12" t="s">
        <v>216</v>
      </c>
      <c r="C229" s="12">
        <v>15244</v>
      </c>
      <c r="D229" s="12" t="s">
        <v>246</v>
      </c>
      <c r="E229" s="17">
        <v>0.90237033560197133</v>
      </c>
      <c r="F229" s="17">
        <v>9.7629664398028629E-2</v>
      </c>
      <c r="G229" s="13">
        <v>0.96359113523292628</v>
      </c>
      <c r="H229" s="13">
        <v>9.2206235011990412</v>
      </c>
      <c r="I229" s="14">
        <v>8.3574938126585625</v>
      </c>
      <c r="J229" s="16">
        <v>0.74350000000000005</v>
      </c>
      <c r="K229" s="16">
        <v>0.74350000000000005</v>
      </c>
      <c r="L229" s="13">
        <v>0.51370000000000005</v>
      </c>
      <c r="M229" s="13">
        <v>1.21E-2</v>
      </c>
      <c r="N229" s="13">
        <v>5.91E-2</v>
      </c>
      <c r="O229" s="13">
        <v>6.5199999999999994E-2</v>
      </c>
      <c r="P229" s="16">
        <v>0.91189999999999993</v>
      </c>
      <c r="Q229" s="16">
        <v>0.89959999999999996</v>
      </c>
      <c r="R229" s="16">
        <v>0.40299999999999997</v>
      </c>
      <c r="S229" s="16">
        <f t="shared" si="6"/>
        <v>0.73816666666666653</v>
      </c>
      <c r="T229" s="18">
        <v>0.68211920529801306</v>
      </c>
      <c r="U229" s="1">
        <v>0</v>
      </c>
      <c r="V229" s="1">
        <f t="shared" si="7"/>
        <v>0</v>
      </c>
      <c r="W229" s="25"/>
      <c r="X229">
        <v>3.8399999999999997E-2</v>
      </c>
      <c r="Y229" s="1">
        <v>8.6499999999999994E-2</v>
      </c>
      <c r="Z229" s="1">
        <v>8.2900000000000001E-2</v>
      </c>
      <c r="AA229" s="1">
        <v>4305</v>
      </c>
      <c r="AB229" s="1">
        <v>17</v>
      </c>
      <c r="AC229" s="29">
        <v>846</v>
      </c>
    </row>
    <row r="230" spans="1:29">
      <c r="A230" s="12">
        <v>15</v>
      </c>
      <c r="B230" s="12" t="s">
        <v>216</v>
      </c>
      <c r="C230" s="12">
        <v>15248</v>
      </c>
      <c r="D230" s="12" t="s">
        <v>247</v>
      </c>
      <c r="E230" s="17">
        <v>0.91582229150428685</v>
      </c>
      <c r="F230" s="17">
        <v>8.4177708495713169E-2</v>
      </c>
      <c r="G230" s="13">
        <v>0.79002463054187189</v>
      </c>
      <c r="H230" s="13">
        <v>10.829493087557603</v>
      </c>
      <c r="I230" s="14">
        <v>7.8504931808711405</v>
      </c>
      <c r="J230" s="16">
        <v>0.81469999999999998</v>
      </c>
      <c r="K230" s="16">
        <v>0.81469999999999998</v>
      </c>
      <c r="L230" s="13">
        <v>0.6966</v>
      </c>
      <c r="M230" s="13">
        <v>6.8999999999999999E-3</v>
      </c>
      <c r="N230" s="13">
        <v>4.3999999999999997E-2</v>
      </c>
      <c r="O230" s="13">
        <v>2.5499999999999998E-2</v>
      </c>
      <c r="P230" s="16">
        <v>1</v>
      </c>
      <c r="Q230" s="16">
        <v>0.20780000000000001</v>
      </c>
      <c r="R230" s="16">
        <v>0.20780000000000001</v>
      </c>
      <c r="S230" s="16">
        <f t="shared" si="6"/>
        <v>0.47186666666666666</v>
      </c>
      <c r="T230" s="18">
        <v>0.65602836879432602</v>
      </c>
      <c r="U230" s="1">
        <v>0</v>
      </c>
      <c r="V230" s="1">
        <f t="shared" si="7"/>
        <v>0</v>
      </c>
      <c r="W230" s="26"/>
      <c r="X230">
        <v>3.2899999999999999E-2</v>
      </c>
      <c r="Y230" s="1">
        <v>0.16869999999999999</v>
      </c>
      <c r="Z230" s="1">
        <v>0.15590000000000001</v>
      </c>
      <c r="AA230" s="1">
        <v>3128</v>
      </c>
      <c r="AB230" s="1">
        <v>10</v>
      </c>
      <c r="AC230" s="29">
        <v>527</v>
      </c>
    </row>
    <row r="231" spans="1:29">
      <c r="A231" s="12">
        <v>15</v>
      </c>
      <c r="B231" s="12" t="s">
        <v>216</v>
      </c>
      <c r="C231" s="12">
        <v>15272</v>
      </c>
      <c r="D231" s="12" t="s">
        <v>248</v>
      </c>
      <c r="E231" s="17">
        <v>0.78101104502973662</v>
      </c>
      <c r="F231" s="17">
        <v>0.21898895497026338</v>
      </c>
      <c r="G231" s="13">
        <v>0.65443425076452599</v>
      </c>
      <c r="H231" s="13">
        <v>3.5629844961240309</v>
      </c>
      <c r="I231" s="14">
        <v>8.4572308502435547</v>
      </c>
      <c r="J231" s="16">
        <v>0.60260000000000002</v>
      </c>
      <c r="K231" s="16">
        <v>0.60260000000000002</v>
      </c>
      <c r="L231" s="13">
        <v>0.63080000000000003</v>
      </c>
      <c r="M231" s="13">
        <v>1.78E-2</v>
      </c>
      <c r="N231" s="13">
        <v>5.1999999999999998E-2</v>
      </c>
      <c r="O231" s="13">
        <v>3.4200000000000001E-2</v>
      </c>
      <c r="P231" s="16">
        <v>0.58310000000000006</v>
      </c>
      <c r="Q231" s="16">
        <v>0.58310000000000006</v>
      </c>
      <c r="R231" s="16">
        <v>0.58310000000000006</v>
      </c>
      <c r="S231" s="16">
        <f t="shared" si="6"/>
        <v>0.58310000000000006</v>
      </c>
      <c r="T231" s="18">
        <v>0.87432376196421102</v>
      </c>
      <c r="U231" s="1">
        <v>0</v>
      </c>
      <c r="V231" s="1">
        <f t="shared" si="7"/>
        <v>0</v>
      </c>
      <c r="W231" s="25"/>
      <c r="X231">
        <v>5.6899999999999999E-2</v>
      </c>
      <c r="Y231" s="1">
        <v>0.93669999999999998</v>
      </c>
      <c r="Z231" s="1">
        <v>0.66100000000000003</v>
      </c>
      <c r="AA231" s="1">
        <v>7088</v>
      </c>
      <c r="AB231" s="1">
        <v>35</v>
      </c>
      <c r="AC231" s="29">
        <v>1136</v>
      </c>
    </row>
    <row r="232" spans="1:29">
      <c r="A232" s="12">
        <v>15</v>
      </c>
      <c r="B232" s="12" t="s">
        <v>216</v>
      </c>
      <c r="C232" s="12">
        <v>15276</v>
      </c>
      <c r="D232" s="12" t="s">
        <v>249</v>
      </c>
      <c r="E232" s="17">
        <v>0.87442396313364057</v>
      </c>
      <c r="F232" s="17">
        <v>0.12557603686635946</v>
      </c>
      <c r="G232" s="13">
        <v>1.0031782721756717</v>
      </c>
      <c r="H232" s="13">
        <v>6.9473684210526319</v>
      </c>
      <c r="I232" s="14">
        <v>8.1527740527440749</v>
      </c>
      <c r="J232" s="16">
        <v>0.83830000000000005</v>
      </c>
      <c r="K232" s="16">
        <v>0.83830000000000005</v>
      </c>
      <c r="L232" s="13">
        <v>0.67710000000000004</v>
      </c>
      <c r="M232" s="13">
        <v>3.3500000000000002E-2</v>
      </c>
      <c r="N232" s="13">
        <v>5.8599999999999999E-2</v>
      </c>
      <c r="O232" s="13">
        <v>4.5999999999999999E-2</v>
      </c>
      <c r="P232" s="16">
        <v>1</v>
      </c>
      <c r="Q232" s="16">
        <v>1</v>
      </c>
      <c r="R232" s="16">
        <v>1</v>
      </c>
      <c r="S232" s="16">
        <f t="shared" si="6"/>
        <v>1</v>
      </c>
      <c r="T232" s="18">
        <v>0.89018181818181796</v>
      </c>
      <c r="U232" s="1">
        <v>0</v>
      </c>
      <c r="V232" s="1">
        <f t="shared" si="7"/>
        <v>0</v>
      </c>
      <c r="W232" s="26"/>
      <c r="X232">
        <v>3.6499999999999998E-2</v>
      </c>
      <c r="Y232" s="1">
        <v>0.28939999999999999</v>
      </c>
      <c r="Z232" s="1">
        <v>0.25419999999999998</v>
      </c>
      <c r="AA232" s="1">
        <v>3328</v>
      </c>
      <c r="AB232" s="1">
        <v>26</v>
      </c>
      <c r="AC232" s="29">
        <v>506</v>
      </c>
    </row>
    <row r="233" spans="1:29">
      <c r="A233" s="12">
        <v>15</v>
      </c>
      <c r="B233" s="12" t="s">
        <v>216</v>
      </c>
      <c r="C233" s="12">
        <v>15293</v>
      </c>
      <c r="D233" s="12" t="s">
        <v>250</v>
      </c>
      <c r="E233" s="17">
        <v>0.90560271646859081</v>
      </c>
      <c r="F233" s="17">
        <v>9.4397283531409165E-2</v>
      </c>
      <c r="G233" s="13">
        <v>0.99560513860716704</v>
      </c>
      <c r="H233" s="13">
        <v>9.5591397849462361</v>
      </c>
      <c r="I233" s="14">
        <v>7.9882035970225758</v>
      </c>
      <c r="J233" s="16">
        <v>0.94169999999999998</v>
      </c>
      <c r="K233" s="16">
        <v>0.94169999999999998</v>
      </c>
      <c r="L233" s="13">
        <v>0.83130000000000004</v>
      </c>
      <c r="M233" s="13">
        <v>4.3299999999999998E-2</v>
      </c>
      <c r="N233" s="13">
        <v>6.7799999999999999E-2</v>
      </c>
      <c r="O233" s="13">
        <v>8.2900000000000001E-2</v>
      </c>
      <c r="P233" s="16">
        <v>0.59150000000000003</v>
      </c>
      <c r="Q233" s="16">
        <v>7.7699999999999991E-2</v>
      </c>
      <c r="R233" s="16">
        <v>7.7699999999999991E-2</v>
      </c>
      <c r="S233" s="16">
        <f t="shared" si="6"/>
        <v>0.24896666666666667</v>
      </c>
      <c r="T233" s="18">
        <v>0.84661354581673298</v>
      </c>
      <c r="U233" s="1">
        <v>0</v>
      </c>
      <c r="V233" s="1">
        <f t="shared" si="7"/>
        <v>0</v>
      </c>
      <c r="W233" s="25"/>
      <c r="X233">
        <v>3.4299999999999997E-2</v>
      </c>
      <c r="Y233" s="1">
        <v>6.3200000000000006E-2</v>
      </c>
      <c r="Z233" s="1">
        <v>6.13E-2</v>
      </c>
      <c r="AA233" s="1">
        <v>2765</v>
      </c>
      <c r="AB233" s="1">
        <v>15</v>
      </c>
      <c r="AC233" s="29">
        <v>488</v>
      </c>
    </row>
    <row r="234" spans="1:29">
      <c r="A234" s="12">
        <v>15</v>
      </c>
      <c r="B234" s="12" t="s">
        <v>216</v>
      </c>
      <c r="C234" s="12">
        <v>15296</v>
      </c>
      <c r="D234" s="12" t="s">
        <v>251</v>
      </c>
      <c r="E234" s="17">
        <v>0.81091485507246375</v>
      </c>
      <c r="F234" s="17">
        <v>0.18908514492753623</v>
      </c>
      <c r="G234" s="13">
        <v>0.85498547918683443</v>
      </c>
      <c r="H234" s="13">
        <v>4.2834928229665072</v>
      </c>
      <c r="I234" s="14">
        <v>8.3932160115965271</v>
      </c>
      <c r="J234" s="16">
        <v>0.79679999999999995</v>
      </c>
      <c r="K234" s="16">
        <v>0.79679999999999995</v>
      </c>
      <c r="L234" s="13">
        <v>0.68179999999999996</v>
      </c>
      <c r="M234" s="13">
        <v>1.7999999999999999E-2</v>
      </c>
      <c r="N234" s="13">
        <v>2.75E-2</v>
      </c>
      <c r="O234" s="13">
        <v>2.2800000000000001E-2</v>
      </c>
      <c r="P234" s="16">
        <v>0.21129999999999999</v>
      </c>
      <c r="Q234" s="16">
        <v>0.16589999999999999</v>
      </c>
      <c r="R234" s="16">
        <v>0.1011</v>
      </c>
      <c r="S234" s="16">
        <f t="shared" si="6"/>
        <v>0.15943333333333332</v>
      </c>
      <c r="T234" s="18">
        <v>0.69870009285050994</v>
      </c>
      <c r="U234" s="1">
        <v>0</v>
      </c>
      <c r="V234" s="1">
        <f t="shared" si="7"/>
        <v>0</v>
      </c>
      <c r="W234" s="26"/>
      <c r="X234">
        <v>3.44E-2</v>
      </c>
      <c r="Y234" s="1">
        <v>0.1014</v>
      </c>
      <c r="Z234" s="1">
        <v>9.6500000000000002E-2</v>
      </c>
      <c r="AA234" s="1">
        <v>4687</v>
      </c>
      <c r="AB234" s="1">
        <v>41</v>
      </c>
      <c r="AC234" s="29">
        <v>917</v>
      </c>
    </row>
    <row r="235" spans="1:29">
      <c r="A235" s="12">
        <v>15</v>
      </c>
      <c r="B235" s="12" t="s">
        <v>216</v>
      </c>
      <c r="C235" s="12">
        <v>15299</v>
      </c>
      <c r="D235" s="12" t="s">
        <v>252</v>
      </c>
      <c r="E235" s="17">
        <v>0.67305347500435464</v>
      </c>
      <c r="F235" s="17">
        <v>0.32694652499564536</v>
      </c>
      <c r="G235" s="13">
        <v>0.88709760494463041</v>
      </c>
      <c r="H235" s="13">
        <v>2.0582386363636362</v>
      </c>
      <c r="I235" s="14">
        <v>9.7540590390441988</v>
      </c>
      <c r="J235" s="16">
        <v>0.81100000000000005</v>
      </c>
      <c r="K235" s="16">
        <v>0.81069999999999998</v>
      </c>
      <c r="L235" s="13">
        <v>0.65710000000000002</v>
      </c>
      <c r="M235" s="13">
        <v>1.66E-2</v>
      </c>
      <c r="N235" s="13">
        <v>7.5499999999999998E-2</v>
      </c>
      <c r="O235" s="13">
        <v>8.4500000000000006E-2</v>
      </c>
      <c r="P235" s="16">
        <v>0.98370000000000002</v>
      </c>
      <c r="Q235" s="16">
        <v>0.86860000000000004</v>
      </c>
      <c r="R235" s="16">
        <v>0.86860000000000004</v>
      </c>
      <c r="S235" s="16">
        <f t="shared" si="6"/>
        <v>0.90696666666666681</v>
      </c>
      <c r="T235" s="18">
        <v>0.82663690476190399</v>
      </c>
      <c r="U235" s="1">
        <v>10.989010990000001</v>
      </c>
      <c r="V235" s="1">
        <f t="shared" si="7"/>
        <v>2.483990479398714</v>
      </c>
      <c r="W235" s="25"/>
      <c r="X235">
        <v>6.0900000000000003E-2</v>
      </c>
      <c r="Y235" s="1">
        <v>0.28239999999999998</v>
      </c>
      <c r="Z235" s="1">
        <v>0.2487</v>
      </c>
      <c r="AA235" s="1">
        <v>19295</v>
      </c>
      <c r="AB235" s="1">
        <v>91</v>
      </c>
      <c r="AC235" s="29">
        <v>3054</v>
      </c>
    </row>
    <row r="236" spans="1:29">
      <c r="A236" s="12">
        <v>15</v>
      </c>
      <c r="B236" s="12" t="s">
        <v>216</v>
      </c>
      <c r="C236" s="12">
        <v>15317</v>
      </c>
      <c r="D236" s="12" t="s">
        <v>253</v>
      </c>
      <c r="E236" s="17">
        <v>0.92566257272139629</v>
      </c>
      <c r="F236" s="17">
        <v>7.4337427278603749E-2</v>
      </c>
      <c r="G236" s="13">
        <v>0.78647686832740216</v>
      </c>
      <c r="H236" s="13">
        <v>12.344827586206897</v>
      </c>
      <c r="I236" s="14">
        <v>7.3447190541496727</v>
      </c>
      <c r="J236" s="16">
        <v>0.59709999999999996</v>
      </c>
      <c r="K236" s="16">
        <v>0.59709999999999996</v>
      </c>
      <c r="L236" s="13">
        <v>0.37040000000000001</v>
      </c>
      <c r="M236" s="13">
        <v>9.7000000000000003E-3</v>
      </c>
      <c r="N236" s="13">
        <v>2.9100000000000001E-2</v>
      </c>
      <c r="O236" s="13">
        <v>4.8999999999999998E-3</v>
      </c>
      <c r="P236" s="16">
        <v>1</v>
      </c>
      <c r="Q236" s="16">
        <v>0.33990000000000004</v>
      </c>
      <c r="R236" s="16">
        <v>0.33990000000000004</v>
      </c>
      <c r="S236" s="16">
        <f t="shared" si="6"/>
        <v>0.55993333333333339</v>
      </c>
      <c r="T236" s="18">
        <v>0.74671445639187495</v>
      </c>
      <c r="U236" s="1">
        <v>0</v>
      </c>
      <c r="V236" s="1">
        <f t="shared" si="7"/>
        <v>0</v>
      </c>
      <c r="W236" s="26"/>
      <c r="X236">
        <v>4.4600000000000001E-2</v>
      </c>
      <c r="Y236" s="1">
        <v>0.18260000000000001</v>
      </c>
      <c r="Z236" s="1">
        <v>0.1678</v>
      </c>
      <c r="AA236" s="1">
        <v>1811</v>
      </c>
      <c r="AB236" s="1">
        <v>5</v>
      </c>
      <c r="AC236" s="29">
        <v>308</v>
      </c>
    </row>
    <row r="237" spans="1:29">
      <c r="A237" s="12">
        <v>15</v>
      </c>
      <c r="B237" s="12" t="s">
        <v>216</v>
      </c>
      <c r="C237" s="12">
        <v>15322</v>
      </c>
      <c r="D237" s="12" t="s">
        <v>254</v>
      </c>
      <c r="E237" s="17">
        <v>0.69738863287250386</v>
      </c>
      <c r="F237" s="17">
        <v>0.30261136712749614</v>
      </c>
      <c r="G237" s="13">
        <v>0.84743556365529815</v>
      </c>
      <c r="H237" s="13">
        <v>2.3037889039242221</v>
      </c>
      <c r="I237" s="14">
        <v>9.1866622446216049</v>
      </c>
      <c r="J237" s="16">
        <v>0.91720000000000002</v>
      </c>
      <c r="K237" s="16">
        <v>0.91720000000000002</v>
      </c>
      <c r="L237" s="13">
        <v>0.62419999999999998</v>
      </c>
      <c r="M237" s="13">
        <v>1.8700000000000001E-2</v>
      </c>
      <c r="N237" s="13">
        <v>3.9399999999999998E-2</v>
      </c>
      <c r="O237" s="13">
        <v>5.8799999999999998E-2</v>
      </c>
      <c r="P237" s="16">
        <v>0.43840000000000001</v>
      </c>
      <c r="Q237" s="16">
        <v>0.37670000000000003</v>
      </c>
      <c r="R237" s="16">
        <v>0.40079999999999999</v>
      </c>
      <c r="S237" s="16">
        <f t="shared" si="6"/>
        <v>0.40529999999999999</v>
      </c>
      <c r="T237" s="18">
        <v>0.91626095423563703</v>
      </c>
      <c r="U237" s="1">
        <v>14.49275362</v>
      </c>
      <c r="V237" s="1">
        <f t="shared" si="7"/>
        <v>2.7403724062219861</v>
      </c>
      <c r="W237" s="25"/>
      <c r="X237">
        <v>0.13059999999999999</v>
      </c>
      <c r="Y237" s="1">
        <v>1.0651999999999999</v>
      </c>
      <c r="Z237" s="1">
        <v>0.72519999999999996</v>
      </c>
      <c r="AA237" s="1">
        <v>11331</v>
      </c>
      <c r="AB237" s="1">
        <v>69</v>
      </c>
      <c r="AC237" s="29">
        <v>1708</v>
      </c>
    </row>
    <row r="238" spans="1:29">
      <c r="A238" s="12">
        <v>15</v>
      </c>
      <c r="B238" s="12" t="s">
        <v>216</v>
      </c>
      <c r="C238" s="12">
        <v>15325</v>
      </c>
      <c r="D238" s="12" t="s">
        <v>255</v>
      </c>
      <c r="E238" s="17">
        <v>0.9096774193548387</v>
      </c>
      <c r="F238" s="17">
        <v>9.0322580645161285E-2</v>
      </c>
      <c r="G238" s="13">
        <v>0.9228806351006521</v>
      </c>
      <c r="H238" s="13">
        <v>10.03728813559322</v>
      </c>
      <c r="I238" s="14">
        <v>8.0882547271224308</v>
      </c>
      <c r="J238" s="16">
        <v>0.79500000000000004</v>
      </c>
      <c r="K238" s="16">
        <v>0.79500000000000004</v>
      </c>
      <c r="L238" s="13">
        <v>0.622</v>
      </c>
      <c r="M238" s="13">
        <v>2.52E-2</v>
      </c>
      <c r="N238" s="13">
        <v>7.2999999999999995E-2</v>
      </c>
      <c r="O238" s="13">
        <v>6.5500000000000003E-2</v>
      </c>
      <c r="P238" s="16">
        <v>0.44049999999999995</v>
      </c>
      <c r="Q238" s="16">
        <v>6.8099999999999994E-2</v>
      </c>
      <c r="R238" s="16">
        <v>6.7900000000000002E-2</v>
      </c>
      <c r="S238" s="16">
        <f t="shared" si="6"/>
        <v>0.19216666666666662</v>
      </c>
      <c r="T238" s="18">
        <v>0.62786672436174795</v>
      </c>
      <c r="U238" s="1">
        <v>0</v>
      </c>
      <c r="V238" s="1">
        <f t="shared" si="7"/>
        <v>0</v>
      </c>
      <c r="W238" s="26"/>
      <c r="X238">
        <v>2.9000000000000001E-2</v>
      </c>
      <c r="Y238" s="1">
        <v>9.6299999999999997E-2</v>
      </c>
      <c r="Z238" s="1">
        <v>9.1899999999999996E-2</v>
      </c>
      <c r="AA238" s="1">
        <v>3455</v>
      </c>
      <c r="AB238" s="1">
        <v>13</v>
      </c>
      <c r="AC238" s="29">
        <v>454</v>
      </c>
    </row>
    <row r="239" spans="1:29">
      <c r="A239" s="12">
        <v>15</v>
      </c>
      <c r="B239" s="12" t="s">
        <v>216</v>
      </c>
      <c r="C239" s="12">
        <v>15332</v>
      </c>
      <c r="D239" s="12" t="s">
        <v>256</v>
      </c>
      <c r="E239" s="17">
        <v>0.92370338619802828</v>
      </c>
      <c r="F239" s="17">
        <v>7.6296613801971711E-2</v>
      </c>
      <c r="G239" s="13">
        <v>1</v>
      </c>
      <c r="H239" s="13">
        <v>12.072829131652661</v>
      </c>
      <c r="I239" s="14">
        <v>8.4482717459498158</v>
      </c>
      <c r="J239" s="16">
        <v>0.62150000000000005</v>
      </c>
      <c r="K239" s="16">
        <v>0.62150000000000005</v>
      </c>
      <c r="L239" s="13">
        <v>0.44669999999999999</v>
      </c>
      <c r="M239" s="13">
        <v>4.5999999999999999E-3</v>
      </c>
      <c r="N239" s="13">
        <v>6.4899999999999999E-2</v>
      </c>
      <c r="O239" s="13">
        <v>0</v>
      </c>
      <c r="P239" s="16">
        <v>0.11699999999999999</v>
      </c>
      <c r="Q239" s="16">
        <v>0.1081</v>
      </c>
      <c r="R239" s="16">
        <v>0.1081</v>
      </c>
      <c r="S239" s="16">
        <f t="shared" si="6"/>
        <v>0.11106666666666666</v>
      </c>
      <c r="T239" s="18">
        <v>0.6561324303987961</v>
      </c>
      <c r="U239" s="1">
        <v>25</v>
      </c>
      <c r="V239" s="1">
        <f t="shared" si="7"/>
        <v>3.2580965380214821</v>
      </c>
      <c r="W239" s="25"/>
      <c r="X239">
        <v>9.1000000000000004E-3</v>
      </c>
      <c r="Y239" s="1">
        <v>1.2800000000000001E-2</v>
      </c>
      <c r="Z239" s="1">
        <v>1.2800000000000001E-2</v>
      </c>
      <c r="AA239" s="1">
        <v>4383</v>
      </c>
      <c r="AB239" s="1">
        <v>40</v>
      </c>
      <c r="AC239" s="29">
        <v>932</v>
      </c>
    </row>
    <row r="240" spans="1:29">
      <c r="A240" s="12">
        <v>15</v>
      </c>
      <c r="B240" s="12" t="s">
        <v>216</v>
      </c>
      <c r="C240" s="12">
        <v>15362</v>
      </c>
      <c r="D240" s="12" t="s">
        <v>257</v>
      </c>
      <c r="E240" s="17">
        <v>0.7540365984930032</v>
      </c>
      <c r="F240" s="17">
        <v>0.24596340150699678</v>
      </c>
      <c r="G240" s="13">
        <v>0.88729703915950331</v>
      </c>
      <c r="H240" s="13">
        <v>3.0589519650655022</v>
      </c>
      <c r="I240" s="14">
        <v>7.5277939877214441</v>
      </c>
      <c r="J240" s="16">
        <v>0.89610000000000001</v>
      </c>
      <c r="K240" s="16">
        <v>0.89610000000000001</v>
      </c>
      <c r="L240" s="13">
        <v>0.36209999999999998</v>
      </c>
      <c r="M240" s="13">
        <v>3.5900000000000001E-2</v>
      </c>
      <c r="N240" s="13">
        <v>0.1168</v>
      </c>
      <c r="O240" s="13">
        <v>6.2899999999999998E-2</v>
      </c>
      <c r="P240" s="16">
        <v>0.90769999999999995</v>
      </c>
      <c r="Q240" s="16">
        <v>0.63380000000000003</v>
      </c>
      <c r="R240" s="16">
        <v>0.61880000000000002</v>
      </c>
      <c r="S240" s="16">
        <f t="shared" si="6"/>
        <v>0.72010000000000007</v>
      </c>
      <c r="T240" s="18">
        <v>0.87135506003430507</v>
      </c>
      <c r="U240" s="1">
        <v>0</v>
      </c>
      <c r="V240" s="1">
        <f t="shared" si="7"/>
        <v>0</v>
      </c>
      <c r="W240" s="26"/>
      <c r="X240">
        <v>5.33E-2</v>
      </c>
      <c r="Y240" s="1">
        <v>1.2225999999999999</v>
      </c>
      <c r="Z240" s="1">
        <v>0.79869999999999997</v>
      </c>
      <c r="AA240" s="1">
        <v>1934</v>
      </c>
      <c r="AB240" s="1">
        <v>16</v>
      </c>
      <c r="AC240" s="29">
        <v>325</v>
      </c>
    </row>
    <row r="241" spans="1:29">
      <c r="A241" s="12">
        <v>15</v>
      </c>
      <c r="B241" s="12" t="s">
        <v>216</v>
      </c>
      <c r="C241" s="12">
        <v>15367</v>
      </c>
      <c r="D241" s="12" t="s">
        <v>258</v>
      </c>
      <c r="E241" s="17">
        <v>0.90965442429877574</v>
      </c>
      <c r="F241" s="17">
        <v>9.0345575701224243E-2</v>
      </c>
      <c r="G241" s="13">
        <v>0.83210831721470024</v>
      </c>
      <c r="H241" s="13">
        <v>10.051369863013699</v>
      </c>
      <c r="I241" s="14">
        <v>8.7724553726119066</v>
      </c>
      <c r="J241" s="16">
        <v>0.70199999999999996</v>
      </c>
      <c r="K241" s="16">
        <v>0.70199999999999996</v>
      </c>
      <c r="L241" s="13">
        <v>0.58260000000000001</v>
      </c>
      <c r="M241" s="13">
        <v>8.6E-3</v>
      </c>
      <c r="N241" s="13">
        <v>4.0300000000000002E-2</v>
      </c>
      <c r="O241" s="13">
        <v>3.5499999999999997E-2</v>
      </c>
      <c r="P241" s="16">
        <v>0.99419999999999997</v>
      </c>
      <c r="Q241" s="16">
        <v>0.49680000000000002</v>
      </c>
      <c r="R241" s="16">
        <v>0.52170000000000005</v>
      </c>
      <c r="S241" s="16">
        <f t="shared" si="6"/>
        <v>0.67090000000000005</v>
      </c>
      <c r="T241" s="18">
        <v>0.85307482581035998</v>
      </c>
      <c r="U241" s="1">
        <v>22.222222219999999</v>
      </c>
      <c r="V241" s="1">
        <f t="shared" si="7"/>
        <v>3.1451096745328977</v>
      </c>
      <c r="W241" s="25"/>
      <c r="X241">
        <v>1.89E-2</v>
      </c>
      <c r="Y241" s="1">
        <v>0.4617</v>
      </c>
      <c r="Z241" s="1">
        <v>0.37959999999999999</v>
      </c>
      <c r="AA241" s="1">
        <v>7401</v>
      </c>
      <c r="AB241" s="1">
        <v>45</v>
      </c>
      <c r="AC241" s="29">
        <v>1353</v>
      </c>
    </row>
    <row r="242" spans="1:29">
      <c r="A242" s="12">
        <v>15</v>
      </c>
      <c r="B242" s="12" t="s">
        <v>216</v>
      </c>
      <c r="C242" s="12">
        <v>15368</v>
      </c>
      <c r="D242" s="12" t="s">
        <v>73</v>
      </c>
      <c r="E242" s="17">
        <v>0.85218666015147815</v>
      </c>
      <c r="F242" s="17">
        <v>0.14781333984852188</v>
      </c>
      <c r="G242" s="13">
        <v>0.98200575815738966</v>
      </c>
      <c r="H242" s="13">
        <v>5.7557755775577562</v>
      </c>
      <c r="I242" s="14">
        <v>8.3172777662212347</v>
      </c>
      <c r="J242" s="16">
        <v>0.88819999999999999</v>
      </c>
      <c r="K242" s="16">
        <v>0.88819999999999999</v>
      </c>
      <c r="L242" s="13">
        <v>0.56669999999999998</v>
      </c>
      <c r="M242" s="13">
        <v>2.1000000000000001E-2</v>
      </c>
      <c r="N242" s="13">
        <v>7.2900000000000006E-2</v>
      </c>
      <c r="O242" s="13">
        <v>5.33E-2</v>
      </c>
      <c r="P242" s="16">
        <v>0.17329999999999998</v>
      </c>
      <c r="Q242" s="16">
        <v>8.9800000000000005E-2</v>
      </c>
      <c r="R242" s="16">
        <v>8.9800000000000005E-2</v>
      </c>
      <c r="S242" s="16">
        <f t="shared" si="6"/>
        <v>0.11763333333333333</v>
      </c>
      <c r="T242" s="18">
        <v>0.66055045871559603</v>
      </c>
      <c r="U242" s="1">
        <v>0</v>
      </c>
      <c r="V242" s="1">
        <f t="shared" si="7"/>
        <v>0</v>
      </c>
      <c r="W242" s="26"/>
      <c r="X242">
        <v>5.0799999999999998E-2</v>
      </c>
      <c r="Y242" s="1">
        <v>9.5000000000000001E-2</v>
      </c>
      <c r="Z242" s="1">
        <v>9.0700000000000003E-2</v>
      </c>
      <c r="AA242" s="1">
        <v>4024</v>
      </c>
      <c r="AB242" s="1">
        <v>36</v>
      </c>
      <c r="AC242" s="29">
        <v>743</v>
      </c>
    </row>
    <row r="243" spans="1:29">
      <c r="A243" s="12">
        <v>15</v>
      </c>
      <c r="B243" s="12" t="s">
        <v>216</v>
      </c>
      <c r="C243" s="12">
        <v>15377</v>
      </c>
      <c r="D243" s="12" t="s">
        <v>261</v>
      </c>
      <c r="E243" s="17">
        <v>0.87731897067624176</v>
      </c>
      <c r="F243" s="17">
        <v>0.12268102932375823</v>
      </c>
      <c r="G243" s="13">
        <v>0.89597855227882039</v>
      </c>
      <c r="H243" s="13">
        <v>7.1338199513381992</v>
      </c>
      <c r="I243" s="14">
        <v>8.1146238864200981</v>
      </c>
      <c r="J243" s="16">
        <v>0.93410000000000004</v>
      </c>
      <c r="K243" s="16">
        <v>0.93410000000000004</v>
      </c>
      <c r="L243" s="13">
        <v>0.4138</v>
      </c>
      <c r="M243" s="13">
        <v>2.4899999999999999E-2</v>
      </c>
      <c r="N243" s="13">
        <v>6.8599999999999994E-2</v>
      </c>
      <c r="O243" s="13">
        <v>4.1599999999999998E-2</v>
      </c>
      <c r="P243" s="16">
        <v>0.98089999999999999</v>
      </c>
      <c r="Q243" s="16">
        <v>0.52529999999999999</v>
      </c>
      <c r="R243" s="16">
        <v>0.52529999999999999</v>
      </c>
      <c r="S243" s="16">
        <f t="shared" si="6"/>
        <v>0.67716666666666658</v>
      </c>
      <c r="T243" s="18">
        <v>0.38358872960948998</v>
      </c>
      <c r="U243" s="1">
        <v>55.555555560000002</v>
      </c>
      <c r="V243" s="1">
        <f t="shared" si="7"/>
        <v>4.0352234392928885</v>
      </c>
      <c r="W243" s="26"/>
      <c r="X243">
        <v>7.2999999999999995E-2</v>
      </c>
      <c r="Y243" s="1">
        <v>1.6899999999999998E-2</v>
      </c>
      <c r="Z243" s="1">
        <v>1.6799999999999999E-2</v>
      </c>
      <c r="AA243" s="1">
        <v>3741</v>
      </c>
      <c r="AB243" s="1">
        <v>18</v>
      </c>
      <c r="AC243" s="29">
        <v>558</v>
      </c>
    </row>
    <row r="244" spans="1:29">
      <c r="A244" s="12">
        <v>15</v>
      </c>
      <c r="B244" s="12" t="s">
        <v>216</v>
      </c>
      <c r="C244" s="12">
        <v>15380</v>
      </c>
      <c r="D244" s="12" t="s">
        <v>259</v>
      </c>
      <c r="E244" s="17">
        <v>0.93002544529262088</v>
      </c>
      <c r="F244" s="17">
        <v>6.9974554707379136E-2</v>
      </c>
      <c r="G244" s="13">
        <v>0.82707821816906346</v>
      </c>
      <c r="H244" s="13">
        <v>13.210843373493976</v>
      </c>
      <c r="I244" s="14">
        <v>7.765993079407675</v>
      </c>
      <c r="J244" s="16">
        <v>0.71589999999999998</v>
      </c>
      <c r="K244" s="16">
        <v>0.71589999999999998</v>
      </c>
      <c r="L244" s="13">
        <v>0.53420000000000001</v>
      </c>
      <c r="M244" s="13">
        <v>8.8999999999999999E-3</v>
      </c>
      <c r="N244" s="13">
        <v>5.9499999999999997E-2</v>
      </c>
      <c r="O244" s="13">
        <v>6.8500000000000005E-2</v>
      </c>
      <c r="P244" s="16">
        <v>0.7965000000000001</v>
      </c>
      <c r="Q244" s="16">
        <v>0.2271</v>
      </c>
      <c r="R244" s="16">
        <v>0.2271</v>
      </c>
      <c r="S244" s="16">
        <f t="shared" si="6"/>
        <v>0.41690000000000005</v>
      </c>
      <c r="T244" s="18">
        <v>0.91735537190082594</v>
      </c>
      <c r="U244" s="1">
        <v>0</v>
      </c>
      <c r="V244" s="1">
        <f t="shared" si="7"/>
        <v>0</v>
      </c>
      <c r="W244" s="25"/>
      <c r="X244">
        <v>5.45E-2</v>
      </c>
      <c r="Y244" s="1">
        <v>0.1139</v>
      </c>
      <c r="Z244" s="1">
        <v>0.1079</v>
      </c>
      <c r="AA244" s="1">
        <v>2586</v>
      </c>
      <c r="AB244" s="1">
        <v>8</v>
      </c>
      <c r="AC244" s="29">
        <v>397</v>
      </c>
    </row>
    <row r="245" spans="1:29">
      <c r="A245" s="12">
        <v>15</v>
      </c>
      <c r="B245" s="12" t="s">
        <v>216</v>
      </c>
      <c r="C245" s="12">
        <v>15401</v>
      </c>
      <c r="D245" s="12" t="s">
        <v>4</v>
      </c>
      <c r="E245" s="17">
        <v>0.92665474060822894</v>
      </c>
      <c r="F245" s="17">
        <v>7.3345259391771014E-2</v>
      </c>
      <c r="G245" s="13">
        <v>0.93400167084377606</v>
      </c>
      <c r="H245" s="13">
        <v>12.481927710843374</v>
      </c>
      <c r="I245" s="14">
        <v>7.020190708311925</v>
      </c>
      <c r="J245" s="16">
        <v>0.75660000000000005</v>
      </c>
      <c r="K245" s="16">
        <v>0.75660000000000005</v>
      </c>
      <c r="L245" s="13">
        <v>0.51280000000000003</v>
      </c>
      <c r="M245" s="13">
        <v>6.4999999999999997E-3</v>
      </c>
      <c r="N245" s="13">
        <v>3.9E-2</v>
      </c>
      <c r="O245" s="13">
        <v>1.95E-2</v>
      </c>
      <c r="P245" s="16">
        <v>0.35499999999999998</v>
      </c>
      <c r="Q245" s="16">
        <v>0.1076</v>
      </c>
      <c r="R245" s="16">
        <v>9.849999999999999E-2</v>
      </c>
      <c r="S245" s="16">
        <f t="shared" si="6"/>
        <v>0.18703333333333336</v>
      </c>
      <c r="T245" s="18">
        <v>0.81343283582089498</v>
      </c>
      <c r="U245" s="1">
        <v>0</v>
      </c>
      <c r="V245" s="1">
        <f t="shared" si="7"/>
        <v>0</v>
      </c>
      <c r="W245" s="25"/>
      <c r="X245">
        <v>7.0199999999999999E-2</v>
      </c>
      <c r="Y245" s="1">
        <v>7.9799999999999996E-2</v>
      </c>
      <c r="Z245" s="1">
        <v>7.6799999999999993E-2</v>
      </c>
      <c r="AA245" s="1">
        <v>1142</v>
      </c>
      <c r="AB245" s="1">
        <v>0</v>
      </c>
      <c r="AC245" s="29">
        <v>171</v>
      </c>
    </row>
    <row r="246" spans="1:29">
      <c r="A246" s="12">
        <v>15</v>
      </c>
      <c r="B246" s="12" t="s">
        <v>216</v>
      </c>
      <c r="C246" s="12">
        <v>15403</v>
      </c>
      <c r="D246" s="12" t="s">
        <v>260</v>
      </c>
      <c r="E246" s="17">
        <v>0.88897763578274758</v>
      </c>
      <c r="F246" s="17">
        <v>0.1110223642172524</v>
      </c>
      <c r="G246" s="13">
        <v>0.77763975155279508</v>
      </c>
      <c r="H246" s="13">
        <v>7.978494623655914</v>
      </c>
      <c r="I246" s="14">
        <v>7.8260440135189651</v>
      </c>
      <c r="J246" s="16">
        <v>0.77429999999999999</v>
      </c>
      <c r="K246" s="16">
        <v>0.77429999999999999</v>
      </c>
      <c r="L246" s="13">
        <v>0.4405</v>
      </c>
      <c r="M246" s="13">
        <v>5.1000000000000004E-3</v>
      </c>
      <c r="N246" s="13">
        <v>8.0799999999999997E-2</v>
      </c>
      <c r="O246" s="13">
        <v>6.3100000000000003E-2</v>
      </c>
      <c r="P246" s="16">
        <v>1</v>
      </c>
      <c r="Q246" s="16">
        <v>0.16269999999999998</v>
      </c>
      <c r="R246" s="16">
        <v>0.16269999999999998</v>
      </c>
      <c r="S246" s="16">
        <f t="shared" si="6"/>
        <v>0.44180000000000003</v>
      </c>
      <c r="T246" s="18">
        <v>0.79709035222051994</v>
      </c>
      <c r="U246" s="1">
        <v>0</v>
      </c>
      <c r="V246" s="1">
        <f t="shared" si="7"/>
        <v>0</v>
      </c>
      <c r="W246" s="26"/>
      <c r="X246">
        <v>4.87E-2</v>
      </c>
      <c r="Y246" s="1">
        <v>0.12670000000000001</v>
      </c>
      <c r="Z246" s="1">
        <v>0.1193</v>
      </c>
      <c r="AA246" s="1">
        <v>2854</v>
      </c>
      <c r="AB246" s="1">
        <v>14</v>
      </c>
      <c r="AC246" s="29">
        <v>432</v>
      </c>
    </row>
    <row r="247" spans="1:29">
      <c r="A247" s="12">
        <v>15</v>
      </c>
      <c r="B247" s="12" t="s">
        <v>216</v>
      </c>
      <c r="C247" s="12">
        <v>15407</v>
      </c>
      <c r="D247" s="12" t="s">
        <v>333</v>
      </c>
      <c r="E247" s="17">
        <v>0.63370854882871919</v>
      </c>
      <c r="F247" s="17">
        <v>0.36629145117128081</v>
      </c>
      <c r="G247" s="13">
        <v>0.93237646791853401</v>
      </c>
      <c r="H247" s="13">
        <v>1.7297791064607209</v>
      </c>
      <c r="I247" s="14">
        <v>9.707229330003301</v>
      </c>
      <c r="J247" s="16">
        <v>1.0811999999999999</v>
      </c>
      <c r="K247" s="16">
        <v>1.0809</v>
      </c>
      <c r="L247" s="13">
        <v>0.64939999999999998</v>
      </c>
      <c r="M247" s="13">
        <v>2.1000000000000001E-2</v>
      </c>
      <c r="N247" s="13">
        <v>8.7599999999999997E-2</v>
      </c>
      <c r="O247" s="13">
        <v>2.7199999999999998E-2</v>
      </c>
      <c r="P247" s="16">
        <v>0.89029999999999998</v>
      </c>
      <c r="Q247" s="16">
        <v>0.45419999999999999</v>
      </c>
      <c r="R247" s="16">
        <v>0.71510000000000007</v>
      </c>
      <c r="S247" s="16">
        <f t="shared" si="6"/>
        <v>0.68653333333333333</v>
      </c>
      <c r="T247" s="18">
        <v>1</v>
      </c>
      <c r="U247" s="1">
        <v>0</v>
      </c>
      <c r="V247" s="1">
        <f t="shared" si="7"/>
        <v>0</v>
      </c>
      <c r="W247" s="26"/>
      <c r="X247">
        <v>0.1245</v>
      </c>
      <c r="Y247" s="1">
        <v>1.1954</v>
      </c>
      <c r="Z247" s="1">
        <v>0.78639999999999999</v>
      </c>
      <c r="AA247" s="1">
        <v>19143</v>
      </c>
      <c r="AB247" s="1">
        <v>141</v>
      </c>
      <c r="AC247" s="29">
        <v>3206</v>
      </c>
    </row>
    <row r="248" spans="1:29">
      <c r="A248" s="12">
        <v>15</v>
      </c>
      <c r="B248" s="12" t="s">
        <v>216</v>
      </c>
      <c r="C248" s="12">
        <v>15425</v>
      </c>
      <c r="D248" s="12" t="s">
        <v>262</v>
      </c>
      <c r="E248" s="17">
        <v>0.9079263410728583</v>
      </c>
      <c r="F248" s="17">
        <v>9.2073658927141713E-2</v>
      </c>
      <c r="G248" s="13">
        <v>0.69971988795518203</v>
      </c>
      <c r="H248" s="13">
        <v>9.8323699421965323</v>
      </c>
      <c r="I248" s="14">
        <v>8.2289776433583128</v>
      </c>
      <c r="J248" s="16">
        <v>0.64549999999999996</v>
      </c>
      <c r="K248" s="16">
        <v>0.64549999999999996</v>
      </c>
      <c r="L248" s="13">
        <v>0.55000000000000004</v>
      </c>
      <c r="M248" s="13">
        <v>2.5100000000000001E-2</v>
      </c>
      <c r="N248" s="13">
        <v>7.3599999999999999E-2</v>
      </c>
      <c r="O248" s="13">
        <v>1.44E-2</v>
      </c>
      <c r="P248" s="16">
        <v>0.35960000000000003</v>
      </c>
      <c r="Q248" s="16">
        <v>8.7100000000000011E-2</v>
      </c>
      <c r="R248" s="16">
        <v>7.3099999999999998E-2</v>
      </c>
      <c r="S248" s="16">
        <f t="shared" si="6"/>
        <v>0.17326666666666668</v>
      </c>
      <c r="T248" s="18">
        <v>0.74879014518257803</v>
      </c>
      <c r="U248" s="1">
        <v>0</v>
      </c>
      <c r="V248" s="1">
        <f t="shared" si="7"/>
        <v>0</v>
      </c>
      <c r="W248" s="25"/>
      <c r="X248">
        <v>0.27729999999999999</v>
      </c>
      <c r="Y248" s="1">
        <v>7.4999999999999997E-2</v>
      </c>
      <c r="Z248" s="1">
        <v>7.2300000000000003E-2</v>
      </c>
      <c r="AA248" s="1">
        <v>5314</v>
      </c>
      <c r="AB248" s="1">
        <v>21</v>
      </c>
      <c r="AC248" s="29">
        <v>824</v>
      </c>
    </row>
    <row r="249" spans="1:29">
      <c r="A249" s="12">
        <v>15</v>
      </c>
      <c r="B249" s="12" t="s">
        <v>216</v>
      </c>
      <c r="C249" s="12">
        <v>15442</v>
      </c>
      <c r="D249" s="12" t="s">
        <v>263</v>
      </c>
      <c r="E249" s="17">
        <v>0.92294900221729492</v>
      </c>
      <c r="F249" s="17">
        <v>7.7050997782705105E-2</v>
      </c>
      <c r="G249" s="13">
        <v>0.89042448173741362</v>
      </c>
      <c r="H249" s="13">
        <v>11.94976076555024</v>
      </c>
      <c r="I249" s="14">
        <v>8.596558746796978</v>
      </c>
      <c r="J249" s="16">
        <v>0.66339999999999999</v>
      </c>
      <c r="K249" s="16">
        <v>0.66339999999999999</v>
      </c>
      <c r="L249" s="13">
        <v>0.40799999999999997</v>
      </c>
      <c r="M249" s="13">
        <v>2.0400000000000001E-2</v>
      </c>
      <c r="N249" s="13">
        <v>4.2099999999999999E-2</v>
      </c>
      <c r="O249" s="13">
        <v>2.81E-2</v>
      </c>
      <c r="P249" s="16">
        <v>0.2515</v>
      </c>
      <c r="Q249" s="16">
        <v>9.9700000000000011E-2</v>
      </c>
      <c r="R249" s="16">
        <v>0.1</v>
      </c>
      <c r="S249" s="16">
        <f t="shared" si="6"/>
        <v>0.15040000000000001</v>
      </c>
      <c r="T249" s="18">
        <v>0.652272727272727</v>
      </c>
      <c r="U249" s="1">
        <v>0</v>
      </c>
      <c r="V249" s="1">
        <f t="shared" si="7"/>
        <v>0</v>
      </c>
      <c r="W249" s="26"/>
      <c r="X249">
        <v>0.1109</v>
      </c>
      <c r="Y249" s="1">
        <v>6.6500000000000004E-2</v>
      </c>
      <c r="Z249" s="1">
        <v>6.4399999999999999E-2</v>
      </c>
      <c r="AA249" s="1">
        <v>5887</v>
      </c>
      <c r="AB249" s="1">
        <v>32</v>
      </c>
      <c r="AC249" s="29">
        <v>1093</v>
      </c>
    </row>
    <row r="250" spans="1:29">
      <c r="A250" s="12">
        <v>15</v>
      </c>
      <c r="B250" s="12" t="s">
        <v>216</v>
      </c>
      <c r="C250" s="12">
        <v>15455</v>
      </c>
      <c r="D250" s="12" t="s">
        <v>264</v>
      </c>
      <c r="E250" s="17">
        <v>0.77130404862943003</v>
      </c>
      <c r="F250" s="17">
        <v>0.22869595137057003</v>
      </c>
      <c r="G250" s="13">
        <v>0.91962873114650356</v>
      </c>
      <c r="H250" s="13">
        <v>3.3709273182957395</v>
      </c>
      <c r="I250" s="14">
        <v>9.0733745169030247</v>
      </c>
      <c r="J250" s="16">
        <v>0.85160000000000002</v>
      </c>
      <c r="K250" s="16">
        <v>0.85160000000000002</v>
      </c>
      <c r="L250" s="13">
        <v>0.56930000000000003</v>
      </c>
      <c r="M250" s="13">
        <v>2.5899999999999999E-2</v>
      </c>
      <c r="N250" s="13">
        <v>3.61E-2</v>
      </c>
      <c r="O250" s="13">
        <v>5.7299999999999997E-2</v>
      </c>
      <c r="P250" s="16">
        <v>0.56969999999999998</v>
      </c>
      <c r="Q250" s="16">
        <v>0.28960000000000002</v>
      </c>
      <c r="R250" s="16">
        <v>0.29109999999999997</v>
      </c>
      <c r="S250" s="16">
        <f t="shared" si="6"/>
        <v>0.38346666666666662</v>
      </c>
      <c r="T250" s="18">
        <v>1</v>
      </c>
      <c r="U250" s="1">
        <v>0</v>
      </c>
      <c r="V250" s="1">
        <f t="shared" si="7"/>
        <v>0</v>
      </c>
      <c r="W250" s="25"/>
      <c r="X250">
        <v>0.14019999999999999</v>
      </c>
      <c r="Y250" s="1">
        <v>0.26939999999999997</v>
      </c>
      <c r="Z250" s="1">
        <v>0.23849999999999999</v>
      </c>
      <c r="AA250" s="1">
        <v>9038</v>
      </c>
      <c r="AB250" s="1">
        <v>48</v>
      </c>
      <c r="AC250" s="29">
        <v>1459</v>
      </c>
    </row>
    <row r="251" spans="1:29">
      <c r="A251" s="12">
        <v>15</v>
      </c>
      <c r="B251" s="12" t="s">
        <v>216</v>
      </c>
      <c r="C251" s="12">
        <v>15464</v>
      </c>
      <c r="D251" s="12" t="s">
        <v>265</v>
      </c>
      <c r="E251" s="17">
        <v>0.79326808307471952</v>
      </c>
      <c r="F251" s="17">
        <v>0.20673191692528051</v>
      </c>
      <c r="G251" s="13">
        <v>0.84728964401294493</v>
      </c>
      <c r="H251" s="13">
        <v>3.8327566320645907</v>
      </c>
      <c r="I251" s="14">
        <v>8.3404560129161833</v>
      </c>
      <c r="J251" s="16">
        <v>0.74709999999999999</v>
      </c>
      <c r="K251" s="16">
        <v>0.74709999999999999</v>
      </c>
      <c r="L251" s="13">
        <v>0.56769999999999998</v>
      </c>
      <c r="M251" s="13">
        <v>2.0199999999999999E-2</v>
      </c>
      <c r="N251" s="13">
        <v>6.59E-2</v>
      </c>
      <c r="O251" s="13">
        <v>1.2999999999999999E-3</v>
      </c>
      <c r="P251" s="16">
        <v>0.82</v>
      </c>
      <c r="Q251" s="16">
        <v>0.81840000000000002</v>
      </c>
      <c r="R251" s="16">
        <v>0.5585</v>
      </c>
      <c r="S251" s="16">
        <f t="shared" si="6"/>
        <v>0.73229999999999995</v>
      </c>
      <c r="T251" s="18">
        <v>0.66242038216560506</v>
      </c>
      <c r="U251" s="1">
        <v>0</v>
      </c>
      <c r="V251" s="1">
        <f t="shared" si="7"/>
        <v>0</v>
      </c>
      <c r="W251" s="26"/>
      <c r="X251">
        <v>3.9699999999999999E-2</v>
      </c>
      <c r="Y251" s="1">
        <v>7.5999999999999998E-2</v>
      </c>
      <c r="Z251" s="1">
        <v>7.3300000000000004E-2</v>
      </c>
      <c r="AA251" s="1">
        <v>4526</v>
      </c>
      <c r="AB251" s="1">
        <v>42</v>
      </c>
      <c r="AC251" s="29">
        <v>873</v>
      </c>
    </row>
    <row r="252" spans="1:29">
      <c r="A252" s="12">
        <v>15</v>
      </c>
      <c r="B252" s="12" t="s">
        <v>216</v>
      </c>
      <c r="C252" s="12">
        <v>15466</v>
      </c>
      <c r="D252" s="12" t="s">
        <v>266</v>
      </c>
      <c r="E252" s="17">
        <v>0.78473833462232534</v>
      </c>
      <c r="F252" s="17">
        <v>0.21526166537767466</v>
      </c>
      <c r="G252" s="13">
        <v>0.86488294314381275</v>
      </c>
      <c r="H252" s="13">
        <v>3.6411483253588517</v>
      </c>
      <c r="I252" s="14">
        <v>8.2635904326173186</v>
      </c>
      <c r="J252" s="16">
        <v>0.93559999999999999</v>
      </c>
      <c r="K252" s="16">
        <v>0.93559999999999999</v>
      </c>
      <c r="L252" s="13">
        <v>0.57820000000000005</v>
      </c>
      <c r="M252" s="13">
        <v>9.2999999999999992E-3</v>
      </c>
      <c r="N252" s="13">
        <v>5.8400000000000001E-2</v>
      </c>
      <c r="O252" s="13">
        <v>5.6099999999999997E-2</v>
      </c>
      <c r="P252" s="16">
        <v>0.54320000000000002</v>
      </c>
      <c r="Q252" s="16">
        <v>0.39740000000000003</v>
      </c>
      <c r="R252" s="16">
        <v>0.38409999999999994</v>
      </c>
      <c r="S252" s="16">
        <f t="shared" si="6"/>
        <v>0.44156666666666666</v>
      </c>
      <c r="T252" s="18">
        <v>0.49032258064516099</v>
      </c>
      <c r="U252" s="1">
        <v>0</v>
      </c>
      <c r="V252" s="1">
        <f t="shared" si="7"/>
        <v>0</v>
      </c>
      <c r="W252" s="25"/>
      <c r="X252">
        <v>3.2099999999999997E-2</v>
      </c>
      <c r="Y252" s="1">
        <v>0.65769999999999995</v>
      </c>
      <c r="Z252" s="1">
        <v>0.50539999999999996</v>
      </c>
      <c r="AA252" s="1">
        <v>4325</v>
      </c>
      <c r="AB252" s="1">
        <v>36</v>
      </c>
      <c r="AC252" s="29">
        <v>840</v>
      </c>
    </row>
    <row r="253" spans="1:29">
      <c r="A253" s="12">
        <v>15</v>
      </c>
      <c r="B253" s="12" t="s">
        <v>216</v>
      </c>
      <c r="C253" s="12">
        <v>15469</v>
      </c>
      <c r="D253" s="12" t="s">
        <v>267</v>
      </c>
      <c r="E253" s="17">
        <v>0.69430342292957925</v>
      </c>
      <c r="F253" s="17">
        <v>0.30569657707042081</v>
      </c>
      <c r="G253" s="13">
        <v>1</v>
      </c>
      <c r="H253" s="13">
        <v>2.2709861450692745</v>
      </c>
      <c r="I253" s="14">
        <v>10.376860499251467</v>
      </c>
      <c r="J253" s="16">
        <v>0.88149999999999995</v>
      </c>
      <c r="K253" s="16">
        <v>0.88149999999999995</v>
      </c>
      <c r="L253" s="13">
        <v>0.57399999999999995</v>
      </c>
      <c r="M253" s="13">
        <v>3.6700000000000003E-2</v>
      </c>
      <c r="N253" s="13">
        <v>8.9499999999999996E-2</v>
      </c>
      <c r="O253" s="13">
        <v>5.7299999999999997E-2</v>
      </c>
      <c r="P253" s="16">
        <v>0.87709999999999999</v>
      </c>
      <c r="Q253" s="16">
        <v>0.38020000000000004</v>
      </c>
      <c r="R253" s="16">
        <v>0.42149999999999999</v>
      </c>
      <c r="S253" s="16">
        <f t="shared" si="6"/>
        <v>0.55959999999999999</v>
      </c>
      <c r="T253" s="18">
        <v>0.89022153238323598</v>
      </c>
      <c r="U253" s="1">
        <v>0</v>
      </c>
      <c r="V253" s="1">
        <f t="shared" si="7"/>
        <v>0</v>
      </c>
      <c r="W253" s="26"/>
      <c r="X253">
        <v>7.3099999999999998E-2</v>
      </c>
      <c r="Y253" s="1">
        <v>0.5292</v>
      </c>
      <c r="Z253" s="1">
        <v>0.42470000000000002</v>
      </c>
      <c r="AA253" s="1">
        <v>23763</v>
      </c>
      <c r="AB253" s="1">
        <v>251</v>
      </c>
      <c r="AC253" s="29">
        <v>3973</v>
      </c>
    </row>
    <row r="254" spans="1:29">
      <c r="A254" s="12">
        <v>15</v>
      </c>
      <c r="B254" s="12" t="s">
        <v>216</v>
      </c>
      <c r="C254" s="12">
        <v>15476</v>
      </c>
      <c r="D254" s="12" t="s">
        <v>268</v>
      </c>
      <c r="E254" s="17">
        <v>0.87713452728029984</v>
      </c>
      <c r="F254" s="17">
        <v>0.12286547271970012</v>
      </c>
      <c r="G254" s="13">
        <v>0.79754193655538952</v>
      </c>
      <c r="H254" s="13">
        <v>7.126903553299492</v>
      </c>
      <c r="I254" s="14">
        <v>8.4769960016648245</v>
      </c>
      <c r="J254" s="16">
        <v>0.63970000000000005</v>
      </c>
      <c r="K254" s="16">
        <v>0.63900000000000001</v>
      </c>
      <c r="L254" s="13">
        <v>0.40310000000000001</v>
      </c>
      <c r="M254" s="13">
        <v>1.6400000000000001E-2</v>
      </c>
      <c r="N254" s="13">
        <v>8.43E-2</v>
      </c>
      <c r="O254" s="13">
        <v>5.16E-2</v>
      </c>
      <c r="P254" s="16">
        <v>0.78500000000000003</v>
      </c>
      <c r="Q254" s="16">
        <v>0.15359999999999999</v>
      </c>
      <c r="R254" s="16">
        <v>0.15359999999999999</v>
      </c>
      <c r="S254" s="16">
        <f t="shared" si="6"/>
        <v>0.36406666666666671</v>
      </c>
      <c r="T254" s="18">
        <v>0.97505938242280299</v>
      </c>
      <c r="U254" s="1">
        <v>18.518518520000001</v>
      </c>
      <c r="V254" s="1">
        <f t="shared" si="7"/>
        <v>2.9713636826129348</v>
      </c>
      <c r="W254" s="25"/>
      <c r="X254">
        <v>3.5499999999999997E-2</v>
      </c>
      <c r="Y254" s="1">
        <v>0.60350000000000004</v>
      </c>
      <c r="Z254" s="1">
        <v>0.47220000000000001</v>
      </c>
      <c r="AA254" s="1">
        <v>5281</v>
      </c>
      <c r="AB254" s="1">
        <v>54</v>
      </c>
      <c r="AC254" s="29">
        <v>1102</v>
      </c>
    </row>
    <row r="255" spans="1:29">
      <c r="A255" s="12">
        <v>15</v>
      </c>
      <c r="B255" s="12" t="s">
        <v>216</v>
      </c>
      <c r="C255" s="12">
        <v>15480</v>
      </c>
      <c r="D255" s="12" t="s">
        <v>269</v>
      </c>
      <c r="E255" s="17">
        <v>0.85254626829563329</v>
      </c>
      <c r="F255" s="17">
        <v>0.14745373170436676</v>
      </c>
      <c r="G255" s="13">
        <v>0.90906091928744226</v>
      </c>
      <c r="H255" s="13">
        <v>5.777049180327869</v>
      </c>
      <c r="I255" s="14">
        <v>9.0201479208016586</v>
      </c>
      <c r="J255" s="16">
        <v>0.77410000000000001</v>
      </c>
      <c r="K255" s="16">
        <v>0.77349999999999997</v>
      </c>
      <c r="L255" s="13">
        <v>0.48630000000000001</v>
      </c>
      <c r="M255" s="13">
        <v>1.5599999999999999E-2</v>
      </c>
      <c r="N255" s="13">
        <v>6.3200000000000006E-2</v>
      </c>
      <c r="O255" s="13">
        <v>5.0599999999999999E-2</v>
      </c>
      <c r="P255" s="16">
        <v>0.92749999999999999</v>
      </c>
      <c r="Q255" s="16">
        <v>0.92749999999999999</v>
      </c>
      <c r="R255" s="16">
        <v>0.51239999999999997</v>
      </c>
      <c r="S255" s="16">
        <f t="shared" si="6"/>
        <v>0.78913333333333335</v>
      </c>
      <c r="T255" s="18">
        <v>0.83887468030690504</v>
      </c>
      <c r="U255" s="1">
        <v>0</v>
      </c>
      <c r="V255" s="1">
        <f t="shared" si="7"/>
        <v>0</v>
      </c>
      <c r="W255" s="26"/>
      <c r="X255">
        <v>0.2104</v>
      </c>
      <c r="Y255" s="1">
        <v>0.14199999999999999</v>
      </c>
      <c r="Z255" s="1">
        <v>0.1328</v>
      </c>
      <c r="AA255" s="1">
        <v>8228</v>
      </c>
      <c r="AB255" s="1">
        <v>41</v>
      </c>
      <c r="AC255" s="29">
        <v>1488</v>
      </c>
    </row>
    <row r="256" spans="1:29">
      <c r="A256" s="12">
        <v>15</v>
      </c>
      <c r="B256" s="12" t="s">
        <v>216</v>
      </c>
      <c r="C256" s="12">
        <v>15491</v>
      </c>
      <c r="D256" s="12" t="s">
        <v>270</v>
      </c>
      <c r="E256" s="17">
        <v>0.62754951226721845</v>
      </c>
      <c r="F256" s="17">
        <v>0.37245048773278155</v>
      </c>
      <c r="G256" s="13">
        <v>0.585496711664936</v>
      </c>
      <c r="H256" s="13">
        <v>1.6844750066120073</v>
      </c>
      <c r="I256" s="14">
        <v>9.2252289844699327</v>
      </c>
      <c r="J256" s="16">
        <v>1.0826</v>
      </c>
      <c r="K256" s="16">
        <v>1.0812999999999999</v>
      </c>
      <c r="L256" s="13">
        <v>0.60799999999999998</v>
      </c>
      <c r="M256" s="13">
        <v>2.8400000000000002E-2</v>
      </c>
      <c r="N256" s="13">
        <v>7.0999999999999994E-2</v>
      </c>
      <c r="O256" s="13">
        <v>9.7199999999999995E-2</v>
      </c>
      <c r="P256" s="16">
        <v>0.62029999999999996</v>
      </c>
      <c r="Q256" s="16">
        <v>0.48060000000000003</v>
      </c>
      <c r="R256" s="16">
        <v>0.51139999999999997</v>
      </c>
      <c r="S256" s="16">
        <f t="shared" si="6"/>
        <v>0.53743333333333332</v>
      </c>
      <c r="T256" s="18">
        <v>1</v>
      </c>
      <c r="U256" s="1">
        <v>7.8740157479999997</v>
      </c>
      <c r="V256" s="1">
        <f t="shared" si="7"/>
        <v>2.1831274275776358</v>
      </c>
      <c r="W256" s="25"/>
      <c r="X256" s="28">
        <v>13684</v>
      </c>
      <c r="Y256" s="1">
        <v>7.3571</v>
      </c>
      <c r="Z256" s="1">
        <v>2.1231</v>
      </c>
      <c r="AA256" s="1">
        <v>16962</v>
      </c>
      <c r="AB256" s="1">
        <v>127</v>
      </c>
      <c r="AC256" s="29">
        <v>2933</v>
      </c>
    </row>
    <row r="257" spans="1:29">
      <c r="A257" s="12">
        <v>15</v>
      </c>
      <c r="B257" s="12" t="s">
        <v>216</v>
      </c>
      <c r="C257" s="12">
        <v>15494</v>
      </c>
      <c r="D257" s="12" t="s">
        <v>271</v>
      </c>
      <c r="E257" s="17">
        <v>0.93805309734513276</v>
      </c>
      <c r="F257" s="17">
        <v>6.1946902654867256E-2</v>
      </c>
      <c r="G257" s="13">
        <v>0.90515201165119241</v>
      </c>
      <c r="H257" s="13">
        <v>15.093851132686083</v>
      </c>
      <c r="I257" s="14">
        <v>8.5117785587147381</v>
      </c>
      <c r="J257" s="16">
        <v>0.81969999999999998</v>
      </c>
      <c r="K257" s="16">
        <v>0.81969999999999998</v>
      </c>
      <c r="L257" s="13">
        <v>0.66859999999999997</v>
      </c>
      <c r="M257" s="13">
        <v>8.3999999999999995E-3</v>
      </c>
      <c r="N257" s="13">
        <v>4.7800000000000002E-2</v>
      </c>
      <c r="O257" s="13">
        <v>5.62E-2</v>
      </c>
      <c r="P257" s="16">
        <v>0.90790000000000004</v>
      </c>
      <c r="Q257" s="16">
        <v>0.40350000000000003</v>
      </c>
      <c r="R257" s="16">
        <v>0.40610000000000002</v>
      </c>
      <c r="S257" s="16">
        <f t="shared" si="6"/>
        <v>0.57250000000000012</v>
      </c>
      <c r="T257" s="18">
        <v>1</v>
      </c>
      <c r="U257" s="1">
        <v>0</v>
      </c>
      <c r="V257" s="1">
        <f t="shared" si="7"/>
        <v>0</v>
      </c>
      <c r="W257" s="26"/>
      <c r="X257">
        <v>3.2099999999999997E-2</v>
      </c>
      <c r="Y257" s="1">
        <v>0.2994</v>
      </c>
      <c r="Z257" s="1">
        <v>0.26190000000000002</v>
      </c>
      <c r="AA257" s="1">
        <v>5229</v>
      </c>
      <c r="AB257" s="1">
        <v>41</v>
      </c>
      <c r="AC257" s="29">
        <v>932</v>
      </c>
    </row>
    <row r="258" spans="1:29">
      <c r="A258" s="12">
        <v>15</v>
      </c>
      <c r="B258" s="12" t="s">
        <v>216</v>
      </c>
      <c r="C258" s="12">
        <v>15500</v>
      </c>
      <c r="D258" s="12" t="s">
        <v>272</v>
      </c>
      <c r="E258" s="17">
        <v>0.79902826855123676</v>
      </c>
      <c r="F258" s="17">
        <v>0.20097173144876326</v>
      </c>
      <c r="G258" s="13">
        <v>0.74302592714145066</v>
      </c>
      <c r="H258" s="13">
        <v>3.9671052631578947</v>
      </c>
      <c r="I258" s="14">
        <v>7.7253300379171348</v>
      </c>
      <c r="J258" s="16">
        <v>0.80669999999999997</v>
      </c>
      <c r="K258" s="16">
        <v>0.80669999999999997</v>
      </c>
      <c r="L258" s="13">
        <v>0.47920000000000001</v>
      </c>
      <c r="M258" s="13">
        <v>3.6900000000000002E-2</v>
      </c>
      <c r="N258" s="13">
        <v>0.1057</v>
      </c>
      <c r="O258" s="13">
        <v>0.1429</v>
      </c>
      <c r="P258" s="16">
        <v>0.44319999999999998</v>
      </c>
      <c r="Q258" s="16">
        <v>9.8800000000000013E-2</v>
      </c>
      <c r="R258" s="16">
        <v>9.7200000000000009E-2</v>
      </c>
      <c r="S258" s="16">
        <f t="shared" ref="S258:S321" si="8">+(P258+Q258+R258)/3</f>
        <v>0.21306666666666665</v>
      </c>
      <c r="T258" s="18">
        <v>1</v>
      </c>
      <c r="U258" s="1">
        <v>0</v>
      </c>
      <c r="V258" s="1">
        <f t="shared" ref="V258:V321" si="9">LN(U258+1)</f>
        <v>0</v>
      </c>
      <c r="W258" s="25"/>
      <c r="X258">
        <v>9.3799999999999994E-2</v>
      </c>
      <c r="Y258" s="1">
        <v>0.79510000000000003</v>
      </c>
      <c r="Z258" s="1">
        <v>0.58499999999999996</v>
      </c>
      <c r="AA258" s="1">
        <v>2929</v>
      </c>
      <c r="AB258" s="1">
        <v>25</v>
      </c>
      <c r="AC258" s="29">
        <v>536</v>
      </c>
    </row>
    <row r="259" spans="1:29">
      <c r="A259" s="12">
        <v>15</v>
      </c>
      <c r="B259" s="12" t="s">
        <v>216</v>
      </c>
      <c r="C259" s="12">
        <v>15507</v>
      </c>
      <c r="D259" s="12" t="s">
        <v>273</v>
      </c>
      <c r="E259" s="17">
        <v>0.85504342017368073</v>
      </c>
      <c r="F259" s="17">
        <v>0.14495657982631929</v>
      </c>
      <c r="G259" s="13">
        <v>0.86903517938000696</v>
      </c>
      <c r="H259" s="13">
        <v>5.8931860036832413</v>
      </c>
      <c r="I259" s="14">
        <v>8.920789888464375</v>
      </c>
      <c r="J259" s="16">
        <v>0.74970000000000003</v>
      </c>
      <c r="K259" s="16">
        <v>0.74970000000000003</v>
      </c>
      <c r="L259" s="13">
        <v>0.52010000000000001</v>
      </c>
      <c r="M259" s="13">
        <v>2.5100000000000001E-2</v>
      </c>
      <c r="N259" s="13">
        <v>4.2900000000000001E-2</v>
      </c>
      <c r="O259" s="13">
        <v>3.4000000000000002E-2</v>
      </c>
      <c r="P259" s="16">
        <v>0.2833</v>
      </c>
      <c r="Q259" s="16">
        <v>0.2833</v>
      </c>
      <c r="R259" s="16">
        <v>0.2833</v>
      </c>
      <c r="S259" s="16">
        <f t="shared" si="8"/>
        <v>0.2833</v>
      </c>
      <c r="T259" s="18">
        <v>0.56917837377607494</v>
      </c>
      <c r="U259" s="1">
        <v>0</v>
      </c>
      <c r="V259" s="1">
        <f t="shared" si="9"/>
        <v>0</v>
      </c>
      <c r="W259" s="26"/>
      <c r="X259">
        <v>5.16E-2</v>
      </c>
      <c r="Y259" s="1">
        <v>2.9899999999999999E-2</v>
      </c>
      <c r="Z259" s="1">
        <v>2.9399999999999999E-2</v>
      </c>
      <c r="AA259" s="1">
        <v>8190</v>
      </c>
      <c r="AB259" s="1">
        <v>50</v>
      </c>
      <c r="AC259" s="29">
        <v>1643</v>
      </c>
    </row>
    <row r="260" spans="1:29">
      <c r="A260" s="12">
        <v>15</v>
      </c>
      <c r="B260" s="12" t="s">
        <v>216</v>
      </c>
      <c r="C260" s="12">
        <v>15511</v>
      </c>
      <c r="D260" s="12" t="s">
        <v>274</v>
      </c>
      <c r="E260" s="17">
        <v>0.92416582406471182</v>
      </c>
      <c r="F260" s="17">
        <v>7.583417593528817E-2</v>
      </c>
      <c r="G260" s="13">
        <v>0.75553857906799082</v>
      </c>
      <c r="H260" s="13">
        <v>12.105960264900663</v>
      </c>
      <c r="I260" s="14">
        <v>7.5903469456025654</v>
      </c>
      <c r="J260" s="16">
        <v>0.68879999999999997</v>
      </c>
      <c r="K260" s="16">
        <v>0.68879999999999997</v>
      </c>
      <c r="L260" s="13">
        <v>0.4</v>
      </c>
      <c r="M260" s="13">
        <v>1.8200000000000001E-2</v>
      </c>
      <c r="N260" s="13">
        <v>5.8200000000000002E-2</v>
      </c>
      <c r="O260" s="13">
        <v>8.3599999999999994E-2</v>
      </c>
      <c r="P260" s="16">
        <v>0.26329999999999998</v>
      </c>
      <c r="Q260" s="16">
        <v>4.6300000000000001E-2</v>
      </c>
      <c r="R260" s="16">
        <v>5.0900000000000001E-2</v>
      </c>
      <c r="S260" s="16">
        <f t="shared" si="8"/>
        <v>0.12016666666666666</v>
      </c>
      <c r="T260" s="18">
        <v>0.80974949221394699</v>
      </c>
      <c r="U260" s="1">
        <v>0</v>
      </c>
      <c r="V260" s="1">
        <f t="shared" si="9"/>
        <v>0</v>
      </c>
      <c r="W260" s="25"/>
      <c r="X260">
        <v>2.69E-2</v>
      </c>
      <c r="Y260" s="1">
        <v>0.1072</v>
      </c>
      <c r="Z260" s="1">
        <v>0.1019</v>
      </c>
      <c r="AA260" s="1">
        <v>2301</v>
      </c>
      <c r="AB260" s="1">
        <v>10</v>
      </c>
      <c r="AC260" s="29">
        <v>335</v>
      </c>
    </row>
    <row r="261" spans="1:29">
      <c r="A261" s="12">
        <v>15</v>
      </c>
      <c r="B261" s="12" t="s">
        <v>216</v>
      </c>
      <c r="C261" s="12">
        <v>15514</v>
      </c>
      <c r="D261" s="12" t="s">
        <v>275</v>
      </c>
      <c r="E261" s="17">
        <v>0.89094138543516876</v>
      </c>
      <c r="F261" s="17">
        <v>0.10905861456483126</v>
      </c>
      <c r="G261" s="13">
        <v>0.80914055763150328</v>
      </c>
      <c r="H261" s="13">
        <v>8.1428571428571423</v>
      </c>
      <c r="I261" s="14">
        <v>7.943072717277933</v>
      </c>
      <c r="J261" s="16">
        <v>0.82040000000000002</v>
      </c>
      <c r="K261" s="16">
        <v>0.82040000000000002</v>
      </c>
      <c r="L261" s="13">
        <v>0.65980000000000005</v>
      </c>
      <c r="M261" s="13">
        <v>2.1299999999999999E-2</v>
      </c>
      <c r="N261" s="13">
        <v>2.52E-2</v>
      </c>
      <c r="O261" s="13">
        <v>2.1299999999999999E-2</v>
      </c>
      <c r="P261" s="16">
        <v>0.20420000000000002</v>
      </c>
      <c r="Q261" s="16">
        <v>0.18840000000000001</v>
      </c>
      <c r="R261" s="16">
        <v>0.18840000000000001</v>
      </c>
      <c r="S261" s="16">
        <f t="shared" si="8"/>
        <v>0.19366666666666668</v>
      </c>
      <c r="T261" s="18">
        <v>0.72227399813606696</v>
      </c>
      <c r="U261" s="1">
        <v>0</v>
      </c>
      <c r="V261" s="1">
        <f t="shared" si="9"/>
        <v>0</v>
      </c>
      <c r="W261" s="26"/>
      <c r="X261">
        <v>0.1196</v>
      </c>
      <c r="Y261" s="1">
        <v>6.4699999999999994E-2</v>
      </c>
      <c r="Z261" s="1">
        <v>6.2700000000000006E-2</v>
      </c>
      <c r="AA261" s="1">
        <v>3376</v>
      </c>
      <c r="AB261" s="1">
        <v>26</v>
      </c>
      <c r="AC261" s="29">
        <v>592</v>
      </c>
    </row>
    <row r="262" spans="1:29">
      <c r="A262" s="12">
        <v>15</v>
      </c>
      <c r="B262" s="12" t="s">
        <v>216</v>
      </c>
      <c r="C262" s="12">
        <v>15516</v>
      </c>
      <c r="D262" s="12" t="s">
        <v>276</v>
      </c>
      <c r="E262" s="17">
        <v>0.50588113373749932</v>
      </c>
      <c r="F262" s="17">
        <v>0.49411886626250062</v>
      </c>
      <c r="G262" s="13">
        <v>1</v>
      </c>
      <c r="H262" s="13">
        <v>1.0237508519897236</v>
      </c>
      <c r="I262" s="14">
        <v>10.560981648381585</v>
      </c>
      <c r="J262" s="16">
        <v>0.97</v>
      </c>
      <c r="K262" s="16">
        <v>0.96830000000000005</v>
      </c>
      <c r="L262" s="13">
        <v>0.54090000000000005</v>
      </c>
      <c r="M262" s="13">
        <v>2.9399999999999999E-2</v>
      </c>
      <c r="N262" s="13">
        <v>8.6699999999999999E-2</v>
      </c>
      <c r="O262" s="13">
        <v>8.7099999999999997E-2</v>
      </c>
      <c r="P262" s="16">
        <v>0</v>
      </c>
      <c r="Q262" s="16">
        <v>0</v>
      </c>
      <c r="R262" s="16">
        <v>0</v>
      </c>
      <c r="S262" s="16">
        <f t="shared" si="8"/>
        <v>0</v>
      </c>
      <c r="T262" s="18">
        <v>1</v>
      </c>
      <c r="U262" s="1">
        <v>0</v>
      </c>
      <c r="V262" s="1">
        <f t="shared" si="9"/>
        <v>0</v>
      </c>
      <c r="W262" s="25"/>
      <c r="X262">
        <v>0.1893</v>
      </c>
      <c r="Y262" s="1">
        <v>1.4661999999999999</v>
      </c>
      <c r="Z262" s="1">
        <v>0.90269999999999995</v>
      </c>
      <c r="AA262" s="1">
        <v>37880</v>
      </c>
      <c r="AB262" s="1">
        <v>267</v>
      </c>
      <c r="AC262" s="29">
        <v>6655</v>
      </c>
    </row>
    <row r="263" spans="1:29">
      <c r="A263" s="12">
        <v>15</v>
      </c>
      <c r="B263" s="12" t="s">
        <v>216</v>
      </c>
      <c r="C263" s="12">
        <v>15518</v>
      </c>
      <c r="D263" s="12" t="s">
        <v>277</v>
      </c>
      <c r="E263" s="17">
        <v>0.80473074987418214</v>
      </c>
      <c r="F263" s="17">
        <v>0.19526925012581781</v>
      </c>
      <c r="G263" s="13">
        <v>0.78105345911949686</v>
      </c>
      <c r="H263" s="13">
        <v>4.1105398457583551</v>
      </c>
      <c r="I263" s="14">
        <v>7.5948843872165197</v>
      </c>
      <c r="J263" s="16">
        <v>0.70279999999999998</v>
      </c>
      <c r="K263" s="16">
        <v>0.70279999999999998</v>
      </c>
      <c r="L263" s="13">
        <v>0.58109999999999995</v>
      </c>
      <c r="M263" s="13">
        <v>1.54E-2</v>
      </c>
      <c r="N263" s="13">
        <v>3.3799999999999997E-2</v>
      </c>
      <c r="O263" s="13">
        <v>4.9200000000000001E-2</v>
      </c>
      <c r="P263" s="16">
        <v>0.2651</v>
      </c>
      <c r="Q263" s="16">
        <v>0.17199999999999999</v>
      </c>
      <c r="R263" s="16">
        <v>0.17199999999999999</v>
      </c>
      <c r="S263" s="16">
        <f t="shared" si="8"/>
        <v>0.20303333333333332</v>
      </c>
      <c r="T263" s="18">
        <v>0.65186246418338101</v>
      </c>
      <c r="U263" s="1">
        <v>0</v>
      </c>
      <c r="V263" s="1">
        <f t="shared" si="9"/>
        <v>0</v>
      </c>
      <c r="W263" s="26"/>
      <c r="X263">
        <v>0.2152</v>
      </c>
      <c r="Y263" s="1">
        <v>4.19E-2</v>
      </c>
      <c r="Z263" s="1">
        <v>4.1000000000000002E-2</v>
      </c>
      <c r="AA263" s="1">
        <v>2205</v>
      </c>
      <c r="AB263" s="1">
        <v>7</v>
      </c>
      <c r="AC263" s="29">
        <v>406</v>
      </c>
    </row>
    <row r="264" spans="1:29">
      <c r="A264" s="12">
        <v>15</v>
      </c>
      <c r="B264" s="12" t="s">
        <v>216</v>
      </c>
      <c r="C264" s="12">
        <v>15522</v>
      </c>
      <c r="D264" s="12" t="s">
        <v>278</v>
      </c>
      <c r="E264" s="17">
        <v>0.91846243447874198</v>
      </c>
      <c r="F264" s="17">
        <v>8.1537565521258001E-2</v>
      </c>
      <c r="G264" s="13">
        <v>0.94652701212789414</v>
      </c>
      <c r="H264" s="13">
        <v>11.184397163120567</v>
      </c>
      <c r="I264" s="14">
        <v>7.4489161025442003</v>
      </c>
      <c r="J264" s="16">
        <v>0.88580000000000003</v>
      </c>
      <c r="K264" s="16">
        <v>0.88580000000000003</v>
      </c>
      <c r="L264" s="13">
        <v>0.96230000000000004</v>
      </c>
      <c r="M264" s="13">
        <v>0.02</v>
      </c>
      <c r="N264" s="13">
        <v>4.3299999999999998E-2</v>
      </c>
      <c r="O264" s="13">
        <v>1.3299999999999999E-2</v>
      </c>
      <c r="P264" s="16">
        <v>0.10859999999999999</v>
      </c>
      <c r="Q264" s="16">
        <v>0.1033</v>
      </c>
      <c r="R264" s="16">
        <v>0.1033</v>
      </c>
      <c r="S264" s="16">
        <f t="shared" si="8"/>
        <v>0.10506666666666666</v>
      </c>
      <c r="T264" s="18">
        <v>0.68338108882521398</v>
      </c>
      <c r="U264" s="1">
        <v>0</v>
      </c>
      <c r="V264" s="1">
        <f t="shared" si="9"/>
        <v>0</v>
      </c>
      <c r="W264" s="25"/>
      <c r="X264">
        <v>6.0499999999999998E-2</v>
      </c>
      <c r="Y264" s="1">
        <v>0.36630000000000001</v>
      </c>
      <c r="Z264" s="1">
        <v>0.31209999999999999</v>
      </c>
      <c r="AA264" s="1">
        <v>1725</v>
      </c>
      <c r="AB264" s="1">
        <v>9</v>
      </c>
      <c r="AC264" s="29">
        <v>296</v>
      </c>
    </row>
    <row r="265" spans="1:29">
      <c r="A265" s="12">
        <v>15</v>
      </c>
      <c r="B265" s="12" t="s">
        <v>216</v>
      </c>
      <c r="C265" s="12">
        <v>15531</v>
      </c>
      <c r="D265" s="12" t="s">
        <v>279</v>
      </c>
      <c r="E265" s="17">
        <v>0.91974777873316138</v>
      </c>
      <c r="F265" s="17">
        <v>8.0252221266838633E-2</v>
      </c>
      <c r="G265" s="13">
        <v>0.91490756522879246</v>
      </c>
      <c r="H265" s="13">
        <v>11.440285204991087</v>
      </c>
      <c r="I265" s="14">
        <v>8.8506609190171517</v>
      </c>
      <c r="J265" s="16">
        <v>0.82320000000000004</v>
      </c>
      <c r="K265" s="16">
        <v>0.82320000000000004</v>
      </c>
      <c r="L265" s="13">
        <v>0.50609999999999999</v>
      </c>
      <c r="M265" s="13">
        <v>2.86E-2</v>
      </c>
      <c r="N265" s="13">
        <v>7.2800000000000004E-2</v>
      </c>
      <c r="O265" s="13">
        <v>1.04E-2</v>
      </c>
      <c r="P265" s="16">
        <v>0.1641</v>
      </c>
      <c r="Q265" s="16">
        <v>0.15579999999999999</v>
      </c>
      <c r="R265" s="16">
        <v>0.16370000000000001</v>
      </c>
      <c r="S265" s="16">
        <f t="shared" si="8"/>
        <v>0.16119999999999998</v>
      </c>
      <c r="T265" s="18">
        <v>0.641692879611095</v>
      </c>
      <c r="U265" s="1">
        <v>0</v>
      </c>
      <c r="V265" s="1">
        <f t="shared" si="9"/>
        <v>0</v>
      </c>
      <c r="W265" s="26"/>
      <c r="X265">
        <v>2.6100000000000002E-2</v>
      </c>
      <c r="Y265" s="1">
        <v>4.3999999999999997E-2</v>
      </c>
      <c r="Z265" s="1">
        <v>4.3099999999999999E-2</v>
      </c>
      <c r="AA265" s="1">
        <v>7346</v>
      </c>
      <c r="AB265" s="1">
        <v>37</v>
      </c>
      <c r="AC265" s="29">
        <v>1289</v>
      </c>
    </row>
    <row r="266" spans="1:29">
      <c r="A266" s="12">
        <v>15</v>
      </c>
      <c r="B266" s="12" t="s">
        <v>216</v>
      </c>
      <c r="C266" s="12">
        <v>15533</v>
      </c>
      <c r="D266" s="12" t="s">
        <v>280</v>
      </c>
      <c r="E266" s="17">
        <v>0.93132643461900277</v>
      </c>
      <c r="F266" s="17">
        <v>6.8673565380997184E-2</v>
      </c>
      <c r="G266" s="13">
        <v>0.76064400715563507</v>
      </c>
      <c r="H266" s="13">
        <v>13.469387755102041</v>
      </c>
      <c r="I266" s="14">
        <v>7.6624678152002375</v>
      </c>
      <c r="J266" s="16">
        <v>0.64980000000000004</v>
      </c>
      <c r="K266" s="16">
        <v>0.64980000000000004</v>
      </c>
      <c r="L266" s="13">
        <v>0.33650000000000002</v>
      </c>
      <c r="M266" s="13">
        <v>4.7000000000000002E-3</v>
      </c>
      <c r="N266" s="13">
        <v>8.7099999999999997E-2</v>
      </c>
      <c r="O266" s="13">
        <v>5.8799999999999998E-2</v>
      </c>
      <c r="P266" s="16">
        <v>0.48130000000000001</v>
      </c>
      <c r="Q266" s="16">
        <v>0.48219999999999996</v>
      </c>
      <c r="R266" s="16">
        <v>0.48130000000000001</v>
      </c>
      <c r="S266" s="16">
        <f t="shared" si="8"/>
        <v>0.48160000000000003</v>
      </c>
      <c r="T266" s="18">
        <v>0.71823204419889508</v>
      </c>
      <c r="U266" s="1">
        <v>0</v>
      </c>
      <c r="V266" s="1">
        <f t="shared" si="9"/>
        <v>0</v>
      </c>
      <c r="W266" s="25"/>
      <c r="X266">
        <v>7.6600000000000001E-2</v>
      </c>
      <c r="Y266" s="1">
        <v>1.84E-2</v>
      </c>
      <c r="Z266" s="1">
        <v>1.8200000000000001E-2</v>
      </c>
      <c r="AA266" s="1">
        <v>2735</v>
      </c>
      <c r="AB266" s="1">
        <v>6</v>
      </c>
      <c r="AC266" s="29">
        <v>632</v>
      </c>
    </row>
    <row r="267" spans="1:29">
      <c r="A267" s="12">
        <v>15</v>
      </c>
      <c r="B267" s="12" t="s">
        <v>216</v>
      </c>
      <c r="C267" s="12">
        <v>15537</v>
      </c>
      <c r="D267" s="12" t="s">
        <v>281</v>
      </c>
      <c r="E267" s="17">
        <v>0.52325873774201659</v>
      </c>
      <c r="F267" s="17">
        <v>0.47674126225798341</v>
      </c>
      <c r="G267" s="13">
        <v>0.88084163898117385</v>
      </c>
      <c r="H267" s="13">
        <v>1.0969952556668423</v>
      </c>
      <c r="I267" s="14">
        <v>8.288534459413917</v>
      </c>
      <c r="J267" s="16">
        <v>0.82689999999999997</v>
      </c>
      <c r="K267" s="16">
        <v>0.82689999999999997</v>
      </c>
      <c r="L267" s="13">
        <v>0.6</v>
      </c>
      <c r="M267" s="13">
        <v>1.8599999999999998E-2</v>
      </c>
      <c r="N267" s="13">
        <v>6.8599999999999994E-2</v>
      </c>
      <c r="O267" s="13">
        <v>0.1132</v>
      </c>
      <c r="P267" s="16">
        <v>0.88040000000000007</v>
      </c>
      <c r="Q267" s="16">
        <v>0.43369999999999997</v>
      </c>
      <c r="R267" s="16">
        <v>0.42430000000000001</v>
      </c>
      <c r="S267" s="16">
        <f t="shared" si="8"/>
        <v>0.57946666666666669</v>
      </c>
      <c r="T267" s="18">
        <v>0.49026128266033198</v>
      </c>
      <c r="U267" s="1">
        <v>0</v>
      </c>
      <c r="V267" s="1">
        <f t="shared" si="9"/>
        <v>0</v>
      </c>
      <c r="W267" s="26"/>
      <c r="X267">
        <v>0.16769999999999999</v>
      </c>
      <c r="Y267" s="1">
        <v>0.21279999999999999</v>
      </c>
      <c r="Z267" s="1">
        <v>0.193</v>
      </c>
      <c r="AA267" s="1">
        <v>4373</v>
      </c>
      <c r="AB267" s="1">
        <v>27</v>
      </c>
      <c r="AC267" s="29">
        <v>718</v>
      </c>
    </row>
    <row r="268" spans="1:29">
      <c r="A268" s="12">
        <v>15</v>
      </c>
      <c r="B268" s="12" t="s">
        <v>216</v>
      </c>
      <c r="C268" s="12">
        <v>15542</v>
      </c>
      <c r="D268" s="12" t="s">
        <v>282</v>
      </c>
      <c r="E268" s="17">
        <v>0.9146415552855407</v>
      </c>
      <c r="F268" s="17">
        <v>8.5358444714459289E-2</v>
      </c>
      <c r="G268" s="13">
        <v>0.91533435284304188</v>
      </c>
      <c r="H268" s="13">
        <v>10.696269982238011</v>
      </c>
      <c r="I268" s="14">
        <v>8.792549614177382</v>
      </c>
      <c r="J268" s="16">
        <v>0.75919999999999999</v>
      </c>
      <c r="K268" s="16">
        <v>0.75919999999999999</v>
      </c>
      <c r="L268" s="13">
        <v>0.4783</v>
      </c>
      <c r="M268" s="13">
        <v>7.9000000000000008E-3</v>
      </c>
      <c r="N268" s="13">
        <v>8.0399999999999999E-2</v>
      </c>
      <c r="O268" s="13">
        <v>3.4099999999999998E-2</v>
      </c>
      <c r="P268" s="16">
        <v>0.93599999999999994</v>
      </c>
      <c r="Q268" s="16">
        <v>0.81610000000000005</v>
      </c>
      <c r="R268" s="16">
        <v>0.57330000000000003</v>
      </c>
      <c r="S268" s="16">
        <f t="shared" si="8"/>
        <v>0.77513333333333334</v>
      </c>
      <c r="T268" s="18">
        <v>0.69505414105940799</v>
      </c>
      <c r="U268" s="1">
        <v>0</v>
      </c>
      <c r="V268" s="1">
        <f t="shared" si="9"/>
        <v>0</v>
      </c>
      <c r="W268" s="25"/>
      <c r="X268">
        <v>5.8500000000000003E-2</v>
      </c>
      <c r="Y268" s="1">
        <v>0.19070000000000001</v>
      </c>
      <c r="Z268" s="1">
        <v>0.17449999999999999</v>
      </c>
      <c r="AA268" s="1">
        <v>7014</v>
      </c>
      <c r="AB268" s="1">
        <v>51</v>
      </c>
      <c r="AC268" s="29">
        <v>1377</v>
      </c>
    </row>
    <row r="269" spans="1:29">
      <c r="A269" s="12">
        <v>15</v>
      </c>
      <c r="B269" s="12" t="s">
        <v>216</v>
      </c>
      <c r="C269" s="12">
        <v>15550</v>
      </c>
      <c r="D269" s="12" t="s">
        <v>283</v>
      </c>
      <c r="E269" s="17">
        <v>0.91720493247210799</v>
      </c>
      <c r="F269" s="17">
        <v>8.2795067527891952E-2</v>
      </c>
      <c r="G269" s="13">
        <v>0.90826666666666667</v>
      </c>
      <c r="H269" s="13">
        <v>11</v>
      </c>
      <c r="I269" s="14">
        <v>7.4407337073892608</v>
      </c>
      <c r="J269" s="16">
        <v>0.66180000000000005</v>
      </c>
      <c r="K269" s="16">
        <v>0.66180000000000005</v>
      </c>
      <c r="L269" s="13">
        <v>0.40910000000000002</v>
      </c>
      <c r="M269" s="13">
        <v>3.2000000000000001E-2</v>
      </c>
      <c r="N269" s="13">
        <v>2.8500000000000001E-2</v>
      </c>
      <c r="O269" s="13">
        <v>6.0499999999999998E-2</v>
      </c>
      <c r="P269" s="16">
        <v>1</v>
      </c>
      <c r="Q269" s="16">
        <v>1</v>
      </c>
      <c r="R269" s="16">
        <v>1</v>
      </c>
      <c r="S269" s="16">
        <f t="shared" si="8"/>
        <v>1</v>
      </c>
      <c r="T269" s="18">
        <v>0.40442338072669798</v>
      </c>
      <c r="U269" s="1">
        <v>0</v>
      </c>
      <c r="V269" s="1">
        <f t="shared" si="9"/>
        <v>0</v>
      </c>
      <c r="W269" s="26"/>
      <c r="X269">
        <v>4.41E-2</v>
      </c>
      <c r="Y269" s="1">
        <v>1.3899999999999999E-2</v>
      </c>
      <c r="Z269" s="1">
        <v>1.38E-2</v>
      </c>
      <c r="AA269" s="1">
        <v>1951</v>
      </c>
      <c r="AB269" s="1">
        <v>13</v>
      </c>
      <c r="AC269" s="29">
        <v>391</v>
      </c>
    </row>
    <row r="270" spans="1:29">
      <c r="A270" s="12">
        <v>15</v>
      </c>
      <c r="B270" s="12" t="s">
        <v>216</v>
      </c>
      <c r="C270" s="12">
        <v>15572</v>
      </c>
      <c r="D270" s="12" t="s">
        <v>284</v>
      </c>
      <c r="E270" s="17">
        <v>0.66640470794648732</v>
      </c>
      <c r="F270" s="17">
        <v>0.33357701586373273</v>
      </c>
      <c r="G270" s="13">
        <v>1</v>
      </c>
      <c r="H270" s="13">
        <v>1.9976442228674738</v>
      </c>
      <c r="I270" s="14">
        <v>10.909929726232107</v>
      </c>
      <c r="J270" s="16">
        <v>0.91930000000000001</v>
      </c>
      <c r="K270" s="16">
        <v>0.91869999999999996</v>
      </c>
      <c r="L270" s="13">
        <v>0.56769999999999998</v>
      </c>
      <c r="M270" s="13">
        <v>3.39E-2</v>
      </c>
      <c r="N270" s="13">
        <v>7.9100000000000004E-2</v>
      </c>
      <c r="O270" s="13">
        <v>7.8200000000000006E-2</v>
      </c>
      <c r="P270" s="16">
        <v>0.57489999999999997</v>
      </c>
      <c r="Q270" s="16">
        <v>0.57650000000000001</v>
      </c>
      <c r="R270" s="16">
        <v>0.83</v>
      </c>
      <c r="S270" s="16">
        <f t="shared" si="8"/>
        <v>0.66046666666666665</v>
      </c>
      <c r="T270" s="18">
        <v>0.95068447963054592</v>
      </c>
      <c r="U270" s="1">
        <v>7.1942446039999997</v>
      </c>
      <c r="V270" s="1">
        <f t="shared" si="9"/>
        <v>2.10343203027786</v>
      </c>
      <c r="W270" s="25"/>
      <c r="X270" s="28">
        <v>10879</v>
      </c>
      <c r="Y270" s="1">
        <v>0.38800000000000001</v>
      </c>
      <c r="Z270" s="1">
        <v>0.32790000000000002</v>
      </c>
      <c r="AA270" s="1">
        <v>47787</v>
      </c>
      <c r="AB270" s="1">
        <v>417</v>
      </c>
      <c r="AC270" s="29">
        <v>9265</v>
      </c>
    </row>
    <row r="271" spans="1:29">
      <c r="A271" s="12">
        <v>15</v>
      </c>
      <c r="B271" s="12" t="s">
        <v>216</v>
      </c>
      <c r="C271" s="12">
        <v>15580</v>
      </c>
      <c r="D271" s="12" t="s">
        <v>285</v>
      </c>
      <c r="E271" s="17">
        <v>0.88932724252491691</v>
      </c>
      <c r="F271" s="17">
        <v>0.11067275747508305</v>
      </c>
      <c r="G271" s="13">
        <v>0.91350531107738997</v>
      </c>
      <c r="H271" s="13">
        <v>8.0205992509363302</v>
      </c>
      <c r="I271" s="14">
        <v>8.4799066066302213</v>
      </c>
      <c r="J271" s="16">
        <v>0.71819999999999995</v>
      </c>
      <c r="K271" s="16">
        <v>0.71819999999999995</v>
      </c>
      <c r="L271" s="13">
        <v>0.3765</v>
      </c>
      <c r="M271" s="13">
        <v>1.5900000000000001E-2</v>
      </c>
      <c r="N271" s="13">
        <v>8.1000000000000003E-2</v>
      </c>
      <c r="O271" s="13">
        <v>9.2600000000000002E-2</v>
      </c>
      <c r="P271" s="16">
        <v>0.43359999999999999</v>
      </c>
      <c r="Q271" s="16">
        <v>0.43359999999999999</v>
      </c>
      <c r="R271" s="16">
        <v>0.21179999999999999</v>
      </c>
      <c r="S271" s="16">
        <f t="shared" si="8"/>
        <v>0.35966666666666663</v>
      </c>
      <c r="T271" s="18">
        <v>0.620558976788252</v>
      </c>
      <c r="U271" s="1">
        <v>0</v>
      </c>
      <c r="V271" s="1">
        <f t="shared" si="9"/>
        <v>0</v>
      </c>
      <c r="W271" s="26"/>
      <c r="X271">
        <v>0.17399999999999999</v>
      </c>
      <c r="Y271" s="1">
        <v>4.3999999999999997E-2</v>
      </c>
      <c r="Z271" s="1">
        <v>4.3099999999999999E-2</v>
      </c>
      <c r="AA271" s="1">
        <v>5005</v>
      </c>
      <c r="AB271" s="1">
        <v>12</v>
      </c>
      <c r="AC271" s="29">
        <v>854</v>
      </c>
    </row>
    <row r="272" spans="1:29">
      <c r="A272" s="12">
        <v>15</v>
      </c>
      <c r="B272" s="12" t="s">
        <v>216</v>
      </c>
      <c r="C272" s="12">
        <v>15599</v>
      </c>
      <c r="D272" s="12" t="s">
        <v>286</v>
      </c>
      <c r="E272" s="17">
        <v>0.85489404641775979</v>
      </c>
      <c r="F272" s="17">
        <v>0.14510595358224015</v>
      </c>
      <c r="G272" s="13">
        <v>0.93104096204434428</v>
      </c>
      <c r="H272" s="13">
        <v>5.8874218207088251</v>
      </c>
      <c r="I272" s="14">
        <v>9.2014005304067084</v>
      </c>
      <c r="J272" s="16">
        <v>0.87860000000000005</v>
      </c>
      <c r="K272" s="16">
        <v>0.87719999999999998</v>
      </c>
      <c r="L272" s="13">
        <v>0.59179999999999999</v>
      </c>
      <c r="M272" s="13">
        <v>4.3400000000000001E-2</v>
      </c>
      <c r="N272" s="13">
        <v>6.5199999999999994E-2</v>
      </c>
      <c r="O272" s="13">
        <v>4.0599999999999997E-2</v>
      </c>
      <c r="P272" s="16">
        <v>0.90180000000000005</v>
      </c>
      <c r="Q272" s="16">
        <v>0.21899999999999997</v>
      </c>
      <c r="R272" s="16">
        <v>0.21920000000000001</v>
      </c>
      <c r="S272" s="16">
        <f t="shared" si="8"/>
        <v>0.44666666666666671</v>
      </c>
      <c r="T272" s="18">
        <v>0.988249845392702</v>
      </c>
      <c r="U272" s="1">
        <v>0</v>
      </c>
      <c r="V272" s="1">
        <f t="shared" si="9"/>
        <v>0</v>
      </c>
      <c r="W272" s="25"/>
      <c r="X272">
        <v>3.7699999999999997E-2</v>
      </c>
      <c r="Y272" s="1">
        <v>0.49359999999999998</v>
      </c>
      <c r="Z272" s="1">
        <v>0.4012</v>
      </c>
      <c r="AA272" s="1">
        <v>10131</v>
      </c>
      <c r="AB272" s="1">
        <v>87</v>
      </c>
      <c r="AC272" s="29">
        <v>1964</v>
      </c>
    </row>
    <row r="273" spans="1:29">
      <c r="A273" s="12">
        <v>15</v>
      </c>
      <c r="B273" s="12" t="s">
        <v>216</v>
      </c>
      <c r="C273" s="12">
        <v>15600</v>
      </c>
      <c r="D273" s="12" t="s">
        <v>287</v>
      </c>
      <c r="E273" s="17">
        <v>0.85146777281429487</v>
      </c>
      <c r="F273" s="17">
        <v>0.14853222718570516</v>
      </c>
      <c r="G273" s="13">
        <v>0.7358534867339751</v>
      </c>
      <c r="H273" s="13">
        <v>5.7263948497854074</v>
      </c>
      <c r="I273" s="14">
        <v>8.7433721312739685</v>
      </c>
      <c r="J273" s="16">
        <v>0.78300000000000003</v>
      </c>
      <c r="K273" s="16">
        <v>0.78300000000000003</v>
      </c>
      <c r="L273" s="13">
        <v>0.37109999999999999</v>
      </c>
      <c r="M273" s="13">
        <v>3.1800000000000002E-2</v>
      </c>
      <c r="N273" s="13">
        <v>5.0099999999999999E-2</v>
      </c>
      <c r="O273" s="13">
        <v>8.7400000000000005E-2</v>
      </c>
      <c r="P273" s="16">
        <v>0.32669999999999999</v>
      </c>
      <c r="Q273" s="16">
        <v>0.1186</v>
      </c>
      <c r="R273" s="16">
        <v>0.1358</v>
      </c>
      <c r="S273" s="16">
        <f t="shared" si="8"/>
        <v>0.19369999999999998</v>
      </c>
      <c r="T273" s="18">
        <v>0.548367221195317</v>
      </c>
      <c r="U273" s="1">
        <v>50</v>
      </c>
      <c r="V273" s="1">
        <f t="shared" si="9"/>
        <v>3.9318256327243257</v>
      </c>
      <c r="W273" s="26"/>
      <c r="X273">
        <v>8.0100000000000005E-2</v>
      </c>
      <c r="Y273" s="1">
        <v>0.22869999999999999</v>
      </c>
      <c r="Z273" s="1">
        <v>0.2059</v>
      </c>
      <c r="AA273" s="1">
        <v>8043</v>
      </c>
      <c r="AB273" s="1">
        <v>80</v>
      </c>
      <c r="AC273" s="29">
        <v>1437</v>
      </c>
    </row>
    <row r="274" spans="1:29">
      <c r="A274" s="12">
        <v>15</v>
      </c>
      <c r="B274" s="12" t="s">
        <v>216</v>
      </c>
      <c r="C274" s="12">
        <v>15621</v>
      </c>
      <c r="D274" s="12" t="s">
        <v>288</v>
      </c>
      <c r="E274" s="17">
        <v>0.92226148409893993</v>
      </c>
      <c r="F274" s="17">
        <v>7.7738515901060068E-2</v>
      </c>
      <c r="G274" s="13">
        <v>0.8885400313971743</v>
      </c>
      <c r="H274" s="13">
        <v>11.796610169491526</v>
      </c>
      <c r="I274" s="14">
        <v>7.7253300379171348</v>
      </c>
      <c r="J274" s="16">
        <v>0.60919999999999996</v>
      </c>
      <c r="K274" s="16">
        <v>0.60919999999999996</v>
      </c>
      <c r="L274" s="13">
        <v>0.39240000000000003</v>
      </c>
      <c r="M274" s="13">
        <v>2.52E-2</v>
      </c>
      <c r="N274" s="13">
        <v>6.9400000000000003E-2</v>
      </c>
      <c r="O274" s="13">
        <v>5.0500000000000003E-2</v>
      </c>
      <c r="P274" s="16">
        <v>0.57240000000000002</v>
      </c>
      <c r="Q274" s="16">
        <v>8.0299999999999996E-2</v>
      </c>
      <c r="R274" s="16">
        <v>8.77E-2</v>
      </c>
      <c r="S274" s="16">
        <f t="shared" si="8"/>
        <v>0.24680000000000002</v>
      </c>
      <c r="T274" s="18">
        <v>0.56286644951139997</v>
      </c>
      <c r="U274" s="1">
        <v>0</v>
      </c>
      <c r="V274" s="1">
        <f t="shared" si="9"/>
        <v>0</v>
      </c>
      <c r="W274" s="25"/>
      <c r="X274">
        <v>7.5300000000000006E-2</v>
      </c>
      <c r="Y274" s="1">
        <v>2.0799999999999999E-2</v>
      </c>
      <c r="Z274" s="1">
        <v>2.06E-2</v>
      </c>
      <c r="AA274" s="1">
        <v>2467</v>
      </c>
      <c r="AB274" s="1">
        <v>8</v>
      </c>
      <c r="AC274" s="29">
        <v>451</v>
      </c>
    </row>
    <row r="275" spans="1:29">
      <c r="A275" s="12">
        <v>15</v>
      </c>
      <c r="B275" s="12" t="s">
        <v>216</v>
      </c>
      <c r="C275" s="12">
        <v>15632</v>
      </c>
      <c r="D275" s="12" t="s">
        <v>289</v>
      </c>
      <c r="E275" s="17">
        <v>0.9278737135879993</v>
      </c>
      <c r="F275" s="17">
        <v>7.2126286412000695E-2</v>
      </c>
      <c r="G275" s="13">
        <v>0.78410722833891811</v>
      </c>
      <c r="H275" s="13">
        <v>12.849033816425122</v>
      </c>
      <c r="I275" s="14">
        <v>9.3472286240383049</v>
      </c>
      <c r="J275" s="16">
        <v>0.70589999999999997</v>
      </c>
      <c r="K275" s="16">
        <v>0.70479999999999998</v>
      </c>
      <c r="L275" s="13">
        <v>0.49890000000000001</v>
      </c>
      <c r="M275" s="13">
        <v>1.3899999999999999E-2</v>
      </c>
      <c r="N275" s="13">
        <v>7.2800000000000004E-2</v>
      </c>
      <c r="O275" s="13">
        <v>4.7100000000000003E-2</v>
      </c>
      <c r="P275" s="16">
        <v>1</v>
      </c>
      <c r="Q275" s="16">
        <v>1</v>
      </c>
      <c r="R275" s="16">
        <v>1</v>
      </c>
      <c r="S275" s="16">
        <f t="shared" si="8"/>
        <v>1</v>
      </c>
      <c r="T275" s="18">
        <v>0.8436112481499749</v>
      </c>
      <c r="U275" s="1">
        <v>11.49425287</v>
      </c>
      <c r="V275" s="1">
        <f t="shared" si="9"/>
        <v>2.5252687681814372</v>
      </c>
      <c r="W275" s="26"/>
      <c r="X275">
        <v>1.8700000000000001E-2</v>
      </c>
      <c r="Y275" s="1">
        <v>0.1089</v>
      </c>
      <c r="Z275" s="1">
        <v>0.10340000000000001</v>
      </c>
      <c r="AA275" s="1">
        <v>14424</v>
      </c>
      <c r="AB275" s="1">
        <v>87</v>
      </c>
      <c r="AC275" s="29">
        <v>2788</v>
      </c>
    </row>
    <row r="276" spans="1:29">
      <c r="A276" s="12">
        <v>15</v>
      </c>
      <c r="B276" s="12" t="s">
        <v>216</v>
      </c>
      <c r="C276" s="12">
        <v>15638</v>
      </c>
      <c r="D276" s="12" t="s">
        <v>290</v>
      </c>
      <c r="E276" s="17">
        <v>0.89844062375049982</v>
      </c>
      <c r="F276" s="17">
        <v>0.10155937624950021</v>
      </c>
      <c r="G276" s="13">
        <v>0.84308107197033544</v>
      </c>
      <c r="H276" s="13">
        <v>8.8290766208251465</v>
      </c>
      <c r="I276" s="14">
        <v>8.5177930114882052</v>
      </c>
      <c r="J276" s="16">
        <v>0.83140000000000003</v>
      </c>
      <c r="K276" s="16">
        <v>0.83140000000000003</v>
      </c>
      <c r="L276" s="13">
        <v>0.40400000000000003</v>
      </c>
      <c r="M276" s="13">
        <v>3.8100000000000002E-2</v>
      </c>
      <c r="N276" s="13">
        <v>5.8999999999999997E-2</v>
      </c>
      <c r="O276" s="13">
        <v>0.1229</v>
      </c>
      <c r="P276" s="16">
        <v>0.89379999999999993</v>
      </c>
      <c r="Q276" s="16">
        <v>0.26100000000000001</v>
      </c>
      <c r="R276" s="16">
        <v>0.27789999999999998</v>
      </c>
      <c r="S276" s="16">
        <f t="shared" si="8"/>
        <v>0.47756666666666664</v>
      </c>
      <c r="T276" s="18">
        <v>0.99916457811194603</v>
      </c>
      <c r="U276" s="1">
        <v>0</v>
      </c>
      <c r="V276" s="1">
        <f t="shared" si="9"/>
        <v>0</v>
      </c>
      <c r="W276" s="25"/>
      <c r="X276">
        <v>4.4400000000000002E-2</v>
      </c>
      <c r="Y276" s="1">
        <v>0.69410000000000005</v>
      </c>
      <c r="Z276" s="1">
        <v>0.52710000000000001</v>
      </c>
      <c r="AA276" s="1">
        <v>6250</v>
      </c>
      <c r="AB276" s="1">
        <v>74</v>
      </c>
      <c r="AC276" s="29">
        <v>1269</v>
      </c>
    </row>
    <row r="277" spans="1:29">
      <c r="A277" s="12">
        <v>15</v>
      </c>
      <c r="B277" s="12" t="s">
        <v>216</v>
      </c>
      <c r="C277" s="12">
        <v>15646</v>
      </c>
      <c r="D277" s="12" t="s">
        <v>291</v>
      </c>
      <c r="E277" s="17">
        <v>0.56590531561461799</v>
      </c>
      <c r="F277" s="17">
        <v>0.43409468438538207</v>
      </c>
      <c r="G277" s="13">
        <v>1</v>
      </c>
      <c r="H277" s="13">
        <v>1.3035201836617563</v>
      </c>
      <c r="I277" s="14">
        <v>10.089178426799686</v>
      </c>
      <c r="J277" s="16">
        <v>1.1238999999999999</v>
      </c>
      <c r="K277" s="16">
        <v>1.123</v>
      </c>
      <c r="L277" s="13">
        <v>0.58079999999999998</v>
      </c>
      <c r="M277" s="13">
        <v>1.89E-2</v>
      </c>
      <c r="N277" s="13">
        <v>7.9799999999999996E-2</v>
      </c>
      <c r="O277" s="13">
        <v>8.72E-2</v>
      </c>
      <c r="P277" s="16">
        <v>0.97310000000000008</v>
      </c>
      <c r="Q277" s="16">
        <v>0.36060000000000003</v>
      </c>
      <c r="R277" s="16">
        <v>0.39399999999999996</v>
      </c>
      <c r="S277" s="16">
        <f t="shared" si="8"/>
        <v>0.57589999999999997</v>
      </c>
      <c r="T277" s="18">
        <v>1</v>
      </c>
      <c r="U277" s="1">
        <v>3.154574132</v>
      </c>
      <c r="V277" s="1">
        <f t="shared" si="9"/>
        <v>1.4242099277475495</v>
      </c>
      <c r="W277" s="26"/>
      <c r="X277">
        <v>0.21829999999999999</v>
      </c>
      <c r="Y277" s="1">
        <v>2.5554999999999999</v>
      </c>
      <c r="Z277" s="1">
        <v>1.2685</v>
      </c>
      <c r="AA277" s="1">
        <v>19327</v>
      </c>
      <c r="AB277" s="1">
        <v>317</v>
      </c>
      <c r="AC277" s="29">
        <v>4062</v>
      </c>
    </row>
    <row r="278" spans="1:29">
      <c r="A278" s="12">
        <v>15</v>
      </c>
      <c r="B278" s="12" t="s">
        <v>216</v>
      </c>
      <c r="C278" s="12">
        <v>15660</v>
      </c>
      <c r="D278" s="12" t="s">
        <v>292</v>
      </c>
      <c r="E278" s="17">
        <v>0.9133489461358314</v>
      </c>
      <c r="F278" s="17">
        <v>8.6651053864168617E-2</v>
      </c>
      <c r="G278" s="13">
        <v>0.96661007357102435</v>
      </c>
      <c r="H278" s="13">
        <v>10.469798657718121</v>
      </c>
      <c r="I278" s="14">
        <v>7.4436636831155907</v>
      </c>
      <c r="J278" s="16">
        <v>0.85609999999999997</v>
      </c>
      <c r="K278" s="16">
        <v>0.85609999999999997</v>
      </c>
      <c r="L278" s="13">
        <v>0.58699999999999997</v>
      </c>
      <c r="M278" s="13">
        <v>8.3999999999999995E-3</v>
      </c>
      <c r="N278" s="13">
        <v>2.53E-2</v>
      </c>
      <c r="O278" s="13">
        <v>4.1999999999999997E-3</v>
      </c>
      <c r="P278" s="16">
        <v>0.95889999999999997</v>
      </c>
      <c r="Q278" s="16">
        <v>0.9587</v>
      </c>
      <c r="R278" s="16">
        <v>0.95879999999999999</v>
      </c>
      <c r="S278" s="16">
        <f t="shared" si="8"/>
        <v>0.95879999999999999</v>
      </c>
      <c r="T278" s="18">
        <v>1</v>
      </c>
      <c r="U278" s="1">
        <v>90.909090910000003</v>
      </c>
      <c r="V278" s="1">
        <f t="shared" si="9"/>
        <v>4.5207999462319917</v>
      </c>
      <c r="W278" s="25"/>
      <c r="X278">
        <v>3.9399999999999998E-2</v>
      </c>
      <c r="Y278" s="1">
        <v>7.9000000000000001E-2</v>
      </c>
      <c r="Z278" s="1">
        <v>7.6100000000000001E-2</v>
      </c>
      <c r="AA278" s="1">
        <v>1672</v>
      </c>
      <c r="AB278" s="1">
        <v>11</v>
      </c>
      <c r="AC278" s="29">
        <v>247</v>
      </c>
    </row>
    <row r="279" spans="1:29">
      <c r="A279" s="12">
        <v>15</v>
      </c>
      <c r="B279" s="12" t="s">
        <v>216</v>
      </c>
      <c r="C279" s="12">
        <v>15664</v>
      </c>
      <c r="D279" s="12" t="s">
        <v>293</v>
      </c>
      <c r="E279" s="17">
        <v>0.94760479041916168</v>
      </c>
      <c r="F279" s="17">
        <v>5.239520958083832E-2</v>
      </c>
      <c r="G279" s="13">
        <v>0.87762762762762758</v>
      </c>
      <c r="H279" s="13">
        <v>18.012195121951219</v>
      </c>
      <c r="I279" s="14">
        <v>8.4504121577258857</v>
      </c>
      <c r="J279" s="16">
        <v>0.75180000000000002</v>
      </c>
      <c r="K279" s="16">
        <v>0.75180000000000002</v>
      </c>
      <c r="L279" s="13">
        <v>0.34350000000000003</v>
      </c>
      <c r="M279" s="13">
        <v>3.2099999999999997E-2</v>
      </c>
      <c r="N279" s="13">
        <v>5.8000000000000003E-2</v>
      </c>
      <c r="O279" s="13">
        <v>4.1200000000000001E-2</v>
      </c>
      <c r="P279" s="16">
        <v>1</v>
      </c>
      <c r="Q279" s="16">
        <v>0.23149999999999998</v>
      </c>
      <c r="R279" s="16">
        <v>0.28420000000000001</v>
      </c>
      <c r="S279" s="16">
        <f t="shared" si="8"/>
        <v>0.50523333333333331</v>
      </c>
      <c r="T279" s="18">
        <v>1</v>
      </c>
      <c r="U279" s="1">
        <v>62.5</v>
      </c>
      <c r="V279" s="1">
        <f t="shared" si="9"/>
        <v>4.1510399058986458</v>
      </c>
      <c r="W279" s="26"/>
      <c r="X279">
        <v>1.4E-2</v>
      </c>
      <c r="Y279" s="1">
        <v>0.2319</v>
      </c>
      <c r="Z279" s="1">
        <v>0.20849999999999999</v>
      </c>
      <c r="AA279" s="1">
        <v>4871</v>
      </c>
      <c r="AB279" s="1">
        <v>32</v>
      </c>
      <c r="AC279" s="29">
        <v>763</v>
      </c>
    </row>
    <row r="280" spans="1:29">
      <c r="A280" s="12">
        <v>15</v>
      </c>
      <c r="B280" s="12" t="s">
        <v>216</v>
      </c>
      <c r="C280" s="12">
        <v>15667</v>
      </c>
      <c r="D280" s="12" t="s">
        <v>294</v>
      </c>
      <c r="E280" s="17">
        <v>0.89109826589595376</v>
      </c>
      <c r="F280" s="17">
        <v>0.10890173410404624</v>
      </c>
      <c r="G280" s="13">
        <v>0.73591968691509269</v>
      </c>
      <c r="H280" s="13">
        <v>8.1652542372881349</v>
      </c>
      <c r="I280" s="14">
        <v>8.3723986065130038</v>
      </c>
      <c r="J280" s="16">
        <v>0.72860000000000003</v>
      </c>
      <c r="K280" s="16">
        <v>0.72860000000000003</v>
      </c>
      <c r="L280" s="13">
        <v>0.51139999999999997</v>
      </c>
      <c r="M280" s="13">
        <v>0.06</v>
      </c>
      <c r="N280" s="13">
        <v>5.7299999999999997E-2</v>
      </c>
      <c r="O280" s="13">
        <v>2.7400000000000001E-2</v>
      </c>
      <c r="P280" s="16">
        <v>0.25259999999999999</v>
      </c>
      <c r="Q280" s="16">
        <v>0.25259999999999999</v>
      </c>
      <c r="R280" s="16">
        <v>0.25259999999999999</v>
      </c>
      <c r="S280" s="16">
        <f t="shared" si="8"/>
        <v>0.25259999999999999</v>
      </c>
      <c r="T280" s="18">
        <v>0.75475168608215792</v>
      </c>
      <c r="U280" s="1">
        <v>0</v>
      </c>
      <c r="V280" s="1">
        <f t="shared" si="9"/>
        <v>0</v>
      </c>
      <c r="W280" s="25"/>
      <c r="X280">
        <v>0.18870000000000001</v>
      </c>
      <c r="Y280" s="1">
        <v>5.8299999999999998E-2</v>
      </c>
      <c r="Z280" s="1">
        <v>5.67E-2</v>
      </c>
      <c r="AA280" s="1">
        <v>5304</v>
      </c>
      <c r="AB280" s="1">
        <v>35</v>
      </c>
      <c r="AC280" s="29">
        <v>935</v>
      </c>
    </row>
    <row r="281" spans="1:29">
      <c r="A281" s="12">
        <v>15</v>
      </c>
      <c r="B281" s="12" t="s">
        <v>216</v>
      </c>
      <c r="C281" s="12">
        <v>15673</v>
      </c>
      <c r="D281" s="12" t="s">
        <v>295</v>
      </c>
      <c r="E281" s="17">
        <v>0.90419471776281723</v>
      </c>
      <c r="F281" s="17">
        <v>9.5805282237182807E-2</v>
      </c>
      <c r="G281" s="13">
        <v>1</v>
      </c>
      <c r="H281" s="13">
        <v>9.4123989218328834</v>
      </c>
      <c r="I281" s="14">
        <v>8.2591993626662816</v>
      </c>
      <c r="J281" s="16">
        <v>0.89749999999999996</v>
      </c>
      <c r="K281" s="16">
        <v>0.89749999999999996</v>
      </c>
      <c r="L281" s="13">
        <v>0.57730000000000004</v>
      </c>
      <c r="M281" s="13">
        <v>1.0500000000000001E-2</v>
      </c>
      <c r="N281" s="13">
        <v>8.1900000000000001E-2</v>
      </c>
      <c r="O281" s="13">
        <v>4.8800000000000003E-2</v>
      </c>
      <c r="P281" s="16">
        <v>0.63450000000000006</v>
      </c>
      <c r="Q281" s="16">
        <v>0.24629999999999999</v>
      </c>
      <c r="R281" s="16">
        <v>0.24629999999999999</v>
      </c>
      <c r="S281" s="16">
        <f t="shared" si="8"/>
        <v>0.37569999999999998</v>
      </c>
      <c r="T281" s="18">
        <v>0.817210682492581</v>
      </c>
      <c r="U281" s="1">
        <v>41.666666669999998</v>
      </c>
      <c r="V281" s="1">
        <f t="shared" si="9"/>
        <v>3.7534179753296324</v>
      </c>
      <c r="W281" s="26"/>
      <c r="X281">
        <v>2.0999999999999999E-3</v>
      </c>
      <c r="Y281" s="1">
        <v>0.12330000000000001</v>
      </c>
      <c r="Z281" s="1">
        <v>0.1163</v>
      </c>
      <c r="AA281" s="1">
        <v>3397</v>
      </c>
      <c r="AB281" s="1">
        <v>24</v>
      </c>
      <c r="AC281" s="29">
        <v>568</v>
      </c>
    </row>
    <row r="282" spans="1:29" ht="25.5">
      <c r="A282" s="12">
        <v>15</v>
      </c>
      <c r="B282" s="12" t="s">
        <v>216</v>
      </c>
      <c r="C282" s="12">
        <v>15676</v>
      </c>
      <c r="D282" s="12" t="s">
        <v>296</v>
      </c>
      <c r="E282" s="17">
        <v>0.79263005780346818</v>
      </c>
      <c r="F282" s="17">
        <v>0.20736994219653179</v>
      </c>
      <c r="G282" s="13">
        <v>0.86418982204183581</v>
      </c>
      <c r="H282" s="13">
        <v>3.8156521739130436</v>
      </c>
      <c r="I282" s="14">
        <v>7.9262415231709618</v>
      </c>
      <c r="J282" s="16">
        <v>1.0225</v>
      </c>
      <c r="K282" s="16">
        <v>1.0225</v>
      </c>
      <c r="L282" s="13">
        <v>0.92779999999999996</v>
      </c>
      <c r="M282" s="13">
        <v>1.3599999999999999E-2</v>
      </c>
      <c r="N282" s="13">
        <v>4.9799999999999997E-2</v>
      </c>
      <c r="O282" s="13">
        <v>1.21E-2</v>
      </c>
      <c r="P282" s="16">
        <v>0.99769999999999992</v>
      </c>
      <c r="Q282" s="16">
        <v>0.99769999999999992</v>
      </c>
      <c r="R282" s="16">
        <v>0.99769999999999992</v>
      </c>
      <c r="S282" s="16">
        <f t="shared" si="8"/>
        <v>0.99769999999999992</v>
      </c>
      <c r="T282" s="18">
        <v>1</v>
      </c>
      <c r="U282" s="1">
        <v>0</v>
      </c>
      <c r="V282" s="1">
        <f t="shared" si="9"/>
        <v>0</v>
      </c>
      <c r="W282" s="25"/>
      <c r="X282">
        <v>3.95E-2</v>
      </c>
      <c r="Y282" s="1">
        <v>0.1028</v>
      </c>
      <c r="Z282" s="1">
        <v>9.7799999999999998E-2</v>
      </c>
      <c r="AA282" s="1">
        <v>3081</v>
      </c>
      <c r="AB282" s="1">
        <v>24</v>
      </c>
      <c r="AC282" s="29">
        <v>572</v>
      </c>
    </row>
    <row r="283" spans="1:29" ht="25.5">
      <c r="A283" s="12">
        <v>15</v>
      </c>
      <c r="B283" s="12" t="s">
        <v>216</v>
      </c>
      <c r="C283" s="12">
        <v>15681</v>
      </c>
      <c r="D283" s="12" t="s">
        <v>297</v>
      </c>
      <c r="E283" s="17">
        <v>0.90361445783132532</v>
      </c>
      <c r="F283" s="17">
        <v>9.6385542168674704E-2</v>
      </c>
      <c r="G283" s="13">
        <v>0.94703479363290599</v>
      </c>
      <c r="H283" s="13">
        <v>9.3605546995377509</v>
      </c>
      <c r="I283" s="14">
        <v>8.8134384945285067</v>
      </c>
      <c r="J283" s="16">
        <v>0.78259999999999996</v>
      </c>
      <c r="K283" s="16">
        <v>0.78259999999999996</v>
      </c>
      <c r="L283" s="13">
        <v>0.44440000000000002</v>
      </c>
      <c r="M283" s="13">
        <v>1.7600000000000001E-2</v>
      </c>
      <c r="N283" s="13">
        <v>7.1400000000000005E-2</v>
      </c>
      <c r="O283" s="13">
        <v>9.4299999999999995E-2</v>
      </c>
      <c r="P283" s="16">
        <v>0.32299999999999995</v>
      </c>
      <c r="Q283" s="16">
        <v>0.1515</v>
      </c>
      <c r="R283" s="16">
        <v>0.19800000000000001</v>
      </c>
      <c r="S283" s="16">
        <f t="shared" si="8"/>
        <v>0.22416666666666663</v>
      </c>
      <c r="T283" s="18">
        <v>0.74417716685757895</v>
      </c>
      <c r="U283" s="1">
        <v>0</v>
      </c>
      <c r="V283" s="1">
        <f t="shared" si="9"/>
        <v>0</v>
      </c>
      <c r="W283" s="26"/>
      <c r="X283">
        <v>8.0799999999999997E-2</v>
      </c>
      <c r="Y283" s="1">
        <v>9.9699999999999997E-2</v>
      </c>
      <c r="Z283" s="1">
        <v>9.5000000000000001E-2</v>
      </c>
      <c r="AA283" s="1">
        <v>6772</v>
      </c>
      <c r="AB283" s="1">
        <v>48</v>
      </c>
      <c r="AC283" s="29">
        <v>1329</v>
      </c>
    </row>
    <row r="284" spans="1:29">
      <c r="A284" s="12">
        <v>15</v>
      </c>
      <c r="B284" s="12" t="s">
        <v>216</v>
      </c>
      <c r="C284" s="12">
        <v>15686</v>
      </c>
      <c r="D284" s="12" t="s">
        <v>301</v>
      </c>
      <c r="E284" s="17">
        <v>0.89206642066420661</v>
      </c>
      <c r="F284" s="17">
        <v>0.10793357933579335</v>
      </c>
      <c r="G284" s="13">
        <v>1</v>
      </c>
      <c r="H284" s="13">
        <v>8.2561366061899673</v>
      </c>
      <c r="I284" s="14">
        <v>9.0679700306844566</v>
      </c>
      <c r="J284" s="16">
        <v>0.78769999999999996</v>
      </c>
      <c r="K284" s="16">
        <v>0.78769999999999996</v>
      </c>
      <c r="L284" s="13">
        <v>0.42520000000000002</v>
      </c>
      <c r="M284" s="13">
        <v>4.19E-2</v>
      </c>
      <c r="N284" s="13">
        <v>7.5800000000000006E-2</v>
      </c>
      <c r="O284" s="13">
        <v>0</v>
      </c>
      <c r="P284" s="16">
        <v>1</v>
      </c>
      <c r="Q284" s="16">
        <v>0.27</v>
      </c>
      <c r="R284" s="16">
        <v>0.27</v>
      </c>
      <c r="S284" s="16">
        <f t="shared" si="8"/>
        <v>0.51333333333333331</v>
      </c>
      <c r="T284" s="18">
        <v>1</v>
      </c>
      <c r="U284" s="1">
        <v>17.543859650000002</v>
      </c>
      <c r="V284" s="1">
        <f t="shared" si="9"/>
        <v>2.9201387180829914</v>
      </c>
      <c r="W284" s="26"/>
      <c r="X284">
        <v>4.41E-2</v>
      </c>
      <c r="Y284" s="1">
        <v>0.23730000000000001</v>
      </c>
      <c r="Z284" s="1">
        <v>0.21290000000000001</v>
      </c>
      <c r="AA284" s="1">
        <v>7746</v>
      </c>
      <c r="AB284" s="1">
        <v>57</v>
      </c>
      <c r="AC284" s="29">
        <v>1391</v>
      </c>
    </row>
    <row r="285" spans="1:29">
      <c r="A285" s="12">
        <v>15</v>
      </c>
      <c r="B285" s="12" t="s">
        <v>216</v>
      </c>
      <c r="C285" s="12">
        <v>15690</v>
      </c>
      <c r="D285" s="12" t="s">
        <v>298</v>
      </c>
      <c r="E285" s="17">
        <v>0.80709534368070956</v>
      </c>
      <c r="F285" s="17">
        <v>0.19290465631929046</v>
      </c>
      <c r="G285" s="13">
        <v>0.84007450771687064</v>
      </c>
      <c r="H285" s="13">
        <v>4.1770491803278684</v>
      </c>
      <c r="I285" s="14">
        <v>8.0576941948155874</v>
      </c>
      <c r="J285" s="16">
        <v>0.85850000000000004</v>
      </c>
      <c r="K285" s="16">
        <v>0.85850000000000004</v>
      </c>
      <c r="L285" s="13">
        <v>0.55559999999999998</v>
      </c>
      <c r="M285" s="13">
        <v>1.52E-2</v>
      </c>
      <c r="N285" s="13">
        <v>0.1065</v>
      </c>
      <c r="O285" s="13">
        <v>3.7999999999999999E-2</v>
      </c>
      <c r="P285" s="16">
        <v>0.94430000000000003</v>
      </c>
      <c r="Q285" s="16">
        <v>0.94430000000000003</v>
      </c>
      <c r="R285" s="16">
        <v>0.94430000000000003</v>
      </c>
      <c r="S285" s="16">
        <f t="shared" si="8"/>
        <v>0.94430000000000003</v>
      </c>
      <c r="T285" s="18">
        <v>0.91447368421052599</v>
      </c>
      <c r="U285" s="1">
        <v>0</v>
      </c>
      <c r="V285" s="1">
        <f t="shared" si="9"/>
        <v>0</v>
      </c>
      <c r="W285" s="25"/>
      <c r="X285">
        <v>0.96020000000000005</v>
      </c>
      <c r="Y285" s="1">
        <v>5.7200000000000001E-2</v>
      </c>
      <c r="Z285" s="1">
        <v>5.5599999999999997E-2</v>
      </c>
      <c r="AA285" s="1">
        <v>3640</v>
      </c>
      <c r="AB285" s="1">
        <v>28</v>
      </c>
      <c r="AC285" s="29">
        <v>618</v>
      </c>
    </row>
    <row r="286" spans="1:29" ht="25.5">
      <c r="A286" s="12">
        <v>15</v>
      </c>
      <c r="B286" s="12" t="s">
        <v>216</v>
      </c>
      <c r="C286" s="12">
        <v>15693</v>
      </c>
      <c r="D286" s="12" t="s">
        <v>299</v>
      </c>
      <c r="E286" s="17">
        <v>0.79939363314805456</v>
      </c>
      <c r="F286" s="17">
        <v>0.20060636685194544</v>
      </c>
      <c r="G286" s="13">
        <v>0.56030577576443941</v>
      </c>
      <c r="H286" s="13">
        <v>3.9823788546255505</v>
      </c>
      <c r="I286" s="14">
        <v>8.9767676251714335</v>
      </c>
      <c r="J286" s="16">
        <v>0.74670000000000003</v>
      </c>
      <c r="K286" s="16">
        <v>0.74629999999999996</v>
      </c>
      <c r="L286" s="13">
        <v>0.43120000000000003</v>
      </c>
      <c r="M286" s="13">
        <v>2.3900000000000001E-2</v>
      </c>
      <c r="N286" s="13">
        <v>7.9000000000000001E-2</v>
      </c>
      <c r="O286" s="13">
        <v>8.3299999999999999E-2</v>
      </c>
      <c r="P286" s="16">
        <v>1</v>
      </c>
      <c r="Q286" s="16">
        <v>0.7026</v>
      </c>
      <c r="R286" s="16">
        <v>0.67330000000000001</v>
      </c>
      <c r="S286" s="16">
        <f t="shared" si="8"/>
        <v>0.7919666666666666</v>
      </c>
      <c r="T286" s="18">
        <v>0.83191126279863392</v>
      </c>
      <c r="U286" s="1">
        <v>14.70588235</v>
      </c>
      <c r="V286" s="1">
        <f t="shared" si="9"/>
        <v>2.7540353141567677</v>
      </c>
      <c r="W286" s="26"/>
      <c r="X286">
        <v>2.8899999999999999E-2</v>
      </c>
      <c r="Y286" s="1">
        <v>0.87160000000000004</v>
      </c>
      <c r="Z286" s="1">
        <v>0.62680000000000002</v>
      </c>
      <c r="AA286" s="1">
        <v>13452</v>
      </c>
      <c r="AB286" s="1">
        <v>68</v>
      </c>
      <c r="AC286" s="29">
        <v>2174</v>
      </c>
    </row>
    <row r="287" spans="1:29">
      <c r="A287" s="12">
        <v>15</v>
      </c>
      <c r="B287" s="12" t="s">
        <v>216</v>
      </c>
      <c r="C287" s="12">
        <v>15696</v>
      </c>
      <c r="D287" s="12" t="s">
        <v>300</v>
      </c>
      <c r="E287" s="17">
        <v>0.91973592772758861</v>
      </c>
      <c r="F287" s="17">
        <v>8.0264072272411391E-2</v>
      </c>
      <c r="G287" s="13">
        <v>0.84696880517951734</v>
      </c>
      <c r="H287" s="13">
        <v>11.40948275862069</v>
      </c>
      <c r="I287" s="14">
        <v>7.9651982906121761</v>
      </c>
      <c r="J287" s="16">
        <v>0.94010000000000005</v>
      </c>
      <c r="K287" s="16">
        <v>0.94010000000000005</v>
      </c>
      <c r="L287" s="13">
        <v>0.52270000000000005</v>
      </c>
      <c r="M287" s="13">
        <v>3.3500000000000002E-2</v>
      </c>
      <c r="N287" s="13">
        <v>7.4099999999999999E-2</v>
      </c>
      <c r="O287" s="13">
        <v>9.35E-2</v>
      </c>
      <c r="P287" s="16">
        <v>0.89729999999999999</v>
      </c>
      <c r="Q287" s="16">
        <v>0.21350000000000002</v>
      </c>
      <c r="R287" s="16">
        <v>0.21850000000000003</v>
      </c>
      <c r="S287" s="16">
        <f t="shared" si="8"/>
        <v>0.44309999999999999</v>
      </c>
      <c r="T287" s="18">
        <v>0.85910652920962094</v>
      </c>
      <c r="U287" s="1">
        <v>33.333333330000002</v>
      </c>
      <c r="V287" s="1">
        <f t="shared" si="9"/>
        <v>3.5361166994644386</v>
      </c>
      <c r="W287" s="25"/>
      <c r="X287">
        <v>5.2900000000000003E-2</v>
      </c>
      <c r="Y287" s="1">
        <v>0.30570000000000003</v>
      </c>
      <c r="Z287" s="1">
        <v>0.26679999999999998</v>
      </c>
      <c r="AA287" s="1">
        <v>3338</v>
      </c>
      <c r="AB287" s="1">
        <v>30</v>
      </c>
      <c r="AC287" s="29">
        <v>572</v>
      </c>
    </row>
    <row r="288" spans="1:29">
      <c r="A288" s="12">
        <v>15</v>
      </c>
      <c r="B288" s="12" t="s">
        <v>216</v>
      </c>
      <c r="C288" s="12">
        <v>15720</v>
      </c>
      <c r="D288" s="12" t="s">
        <v>302</v>
      </c>
      <c r="E288" s="17">
        <v>0.8722644037516748</v>
      </c>
      <c r="F288" s="17">
        <v>0.12773559624832515</v>
      </c>
      <c r="G288" s="13">
        <v>0.96550237171194475</v>
      </c>
      <c r="H288" s="13">
        <v>6.8048780487804876</v>
      </c>
      <c r="I288" s="14">
        <v>7.7142311448490855</v>
      </c>
      <c r="J288" s="16">
        <v>0.70169999999999999</v>
      </c>
      <c r="K288" s="16">
        <v>0.70169999999999999</v>
      </c>
      <c r="L288" s="13">
        <v>0.32790000000000002</v>
      </c>
      <c r="M288" s="13">
        <v>3.9699999999999999E-2</v>
      </c>
      <c r="N288" s="13">
        <v>7.22E-2</v>
      </c>
      <c r="O288" s="13">
        <v>4.3299999999999998E-2</v>
      </c>
      <c r="P288" s="16">
        <v>1</v>
      </c>
      <c r="Q288" s="16">
        <v>1</v>
      </c>
      <c r="R288" s="16">
        <v>1</v>
      </c>
      <c r="S288" s="16">
        <f t="shared" si="8"/>
        <v>1</v>
      </c>
      <c r="T288" s="18">
        <v>0.57787958115183202</v>
      </c>
      <c r="U288" s="1">
        <v>0</v>
      </c>
      <c r="V288" s="1">
        <f t="shared" si="9"/>
        <v>0</v>
      </c>
      <c r="W288" s="25"/>
      <c r="X288">
        <v>1.89E-2</v>
      </c>
      <c r="Y288" s="1">
        <v>0.1057</v>
      </c>
      <c r="Z288" s="1">
        <v>0.1004</v>
      </c>
      <c r="AA288" s="1">
        <v>2080</v>
      </c>
      <c r="AB288" s="1">
        <v>17</v>
      </c>
      <c r="AC288" s="29">
        <v>320</v>
      </c>
    </row>
    <row r="289" spans="1:29">
      <c r="A289" s="12">
        <v>15</v>
      </c>
      <c r="B289" s="12" t="s">
        <v>216</v>
      </c>
      <c r="C289" s="12">
        <v>15723</v>
      </c>
      <c r="D289" s="12" t="s">
        <v>303</v>
      </c>
      <c r="E289" s="17">
        <v>0.76808905380333947</v>
      </c>
      <c r="F289" s="17">
        <v>0.23191094619666047</v>
      </c>
      <c r="G289" s="13">
        <v>0.92691315563198629</v>
      </c>
      <c r="H289" s="13">
        <v>3.2988047808764942</v>
      </c>
      <c r="I289" s="14">
        <v>6.9837899652581346</v>
      </c>
      <c r="J289" s="16">
        <v>0.9526</v>
      </c>
      <c r="K289" s="16">
        <v>0.9526</v>
      </c>
      <c r="L289" s="13">
        <v>0.75760000000000005</v>
      </c>
      <c r="M289" s="13">
        <v>0</v>
      </c>
      <c r="N289" s="13">
        <v>9.0899999999999995E-2</v>
      </c>
      <c r="O289" s="13">
        <v>7.0699999999999999E-2</v>
      </c>
      <c r="P289" s="16">
        <v>0.93840000000000001</v>
      </c>
      <c r="Q289" s="16">
        <v>0.2712</v>
      </c>
      <c r="R289" s="16">
        <v>0.2712</v>
      </c>
      <c r="S289" s="16">
        <f t="shared" si="8"/>
        <v>0.49359999999999998</v>
      </c>
      <c r="T289" s="18">
        <v>1</v>
      </c>
      <c r="U289" s="1">
        <v>0</v>
      </c>
      <c r="V289" s="1">
        <f t="shared" si="9"/>
        <v>0</v>
      </c>
      <c r="W289" s="26"/>
      <c r="X289">
        <v>7.22E-2</v>
      </c>
      <c r="Y289" s="1">
        <v>0.1691</v>
      </c>
      <c r="Z289" s="1">
        <v>0.15629999999999999</v>
      </c>
      <c r="AA289" s="1">
        <v>1055</v>
      </c>
      <c r="AB289" s="1">
        <v>6</v>
      </c>
      <c r="AC289" s="29">
        <v>166</v>
      </c>
    </row>
    <row r="290" spans="1:29">
      <c r="A290" s="12">
        <v>15</v>
      </c>
      <c r="B290" s="12" t="s">
        <v>216</v>
      </c>
      <c r="C290" s="12">
        <v>15740</v>
      </c>
      <c r="D290" s="12" t="s">
        <v>304</v>
      </c>
      <c r="E290" s="17">
        <v>0.92500733783387146</v>
      </c>
      <c r="F290" s="17">
        <v>7.4992662166128557E-2</v>
      </c>
      <c r="G290" s="13">
        <v>0.94586340921710166</v>
      </c>
      <c r="H290" s="13">
        <v>12.310546875</v>
      </c>
      <c r="I290" s="14">
        <v>8.8268813441306335</v>
      </c>
      <c r="J290" s="16">
        <v>0.92210000000000003</v>
      </c>
      <c r="K290" s="16">
        <v>0.92210000000000003</v>
      </c>
      <c r="L290" s="13">
        <v>0.66669999999999996</v>
      </c>
      <c r="M290" s="13">
        <v>1.7600000000000001E-2</v>
      </c>
      <c r="N290" s="13">
        <v>3.73E-2</v>
      </c>
      <c r="O290" s="13">
        <v>5.3600000000000002E-2</v>
      </c>
      <c r="P290" s="16">
        <v>1</v>
      </c>
      <c r="Q290" s="16">
        <v>0.13009999999999999</v>
      </c>
      <c r="R290" s="16">
        <v>0</v>
      </c>
      <c r="S290" s="16">
        <f t="shared" si="8"/>
        <v>0.37670000000000003</v>
      </c>
      <c r="T290" s="18">
        <v>0.95650372825186392</v>
      </c>
      <c r="U290" s="1">
        <v>23.809523810000002</v>
      </c>
      <c r="V290" s="1">
        <f t="shared" si="9"/>
        <v>3.2112276040491379</v>
      </c>
      <c r="W290" s="25"/>
      <c r="X290">
        <v>3.4500000000000003E-2</v>
      </c>
      <c r="Y290" s="1">
        <v>0.16739999999999999</v>
      </c>
      <c r="Z290" s="1">
        <v>0.1547</v>
      </c>
      <c r="AA290" s="1">
        <v>6894</v>
      </c>
      <c r="AB290" s="1">
        <v>84</v>
      </c>
      <c r="AC290" s="29">
        <v>1524</v>
      </c>
    </row>
    <row r="291" spans="1:29">
      <c r="A291" s="12">
        <v>15</v>
      </c>
      <c r="B291" s="12" t="s">
        <v>216</v>
      </c>
      <c r="C291" s="12">
        <v>15753</v>
      </c>
      <c r="D291" s="12" t="s">
        <v>305</v>
      </c>
      <c r="E291" s="17">
        <v>0.70163257646838051</v>
      </c>
      <c r="F291" s="17">
        <v>0.29836742353161944</v>
      </c>
      <c r="G291" s="13">
        <v>1</v>
      </c>
      <c r="H291" s="13">
        <v>2.3508330713612073</v>
      </c>
      <c r="I291" s="14">
        <v>9.2741598846891371</v>
      </c>
      <c r="J291" s="16">
        <v>0.91080000000000005</v>
      </c>
      <c r="K291" s="16">
        <v>0.91080000000000005</v>
      </c>
      <c r="L291" s="13">
        <v>0.68279999999999996</v>
      </c>
      <c r="M291" s="13">
        <v>8.8999999999999999E-3</v>
      </c>
      <c r="N291" s="13">
        <v>4.7199999999999999E-2</v>
      </c>
      <c r="O291" s="13">
        <v>6.9900000000000004E-2</v>
      </c>
      <c r="P291" s="16">
        <v>0.90760000000000007</v>
      </c>
      <c r="Q291" s="16">
        <v>0.90760000000000007</v>
      </c>
      <c r="R291" s="16">
        <v>0.66339999999999999</v>
      </c>
      <c r="S291" s="16">
        <f t="shared" si="8"/>
        <v>0.82620000000000005</v>
      </c>
      <c r="T291" s="18">
        <v>0.73802541544476996</v>
      </c>
      <c r="U291" s="1">
        <v>0</v>
      </c>
      <c r="V291" s="1">
        <f t="shared" si="9"/>
        <v>0</v>
      </c>
      <c r="W291" s="26"/>
      <c r="X291">
        <v>5.0500000000000003E-2</v>
      </c>
      <c r="Y291" s="1">
        <v>0.27560000000000001</v>
      </c>
      <c r="Z291" s="1">
        <v>0.24340000000000001</v>
      </c>
      <c r="AA291" s="1">
        <v>9285</v>
      </c>
      <c r="AB291" s="1">
        <v>68</v>
      </c>
      <c r="AC291" s="29">
        <v>1477</v>
      </c>
    </row>
    <row r="292" spans="1:29">
      <c r="A292" s="12">
        <v>15</v>
      </c>
      <c r="B292" s="12" t="s">
        <v>216</v>
      </c>
      <c r="C292" s="12">
        <v>15755</v>
      </c>
      <c r="D292" s="12" t="s">
        <v>307</v>
      </c>
      <c r="E292" s="17">
        <v>0.76960551330798477</v>
      </c>
      <c r="F292" s="17">
        <v>0.2303944866920152</v>
      </c>
      <c r="G292" s="13">
        <v>1</v>
      </c>
      <c r="H292" s="13">
        <v>3.3386597938144331</v>
      </c>
      <c r="I292" s="14">
        <v>9.0380087492115759</v>
      </c>
      <c r="J292" s="16">
        <v>0.99150000000000005</v>
      </c>
      <c r="K292" s="16">
        <v>0.99080000000000001</v>
      </c>
      <c r="L292" s="13">
        <v>0.62450000000000006</v>
      </c>
      <c r="M292" s="13">
        <v>1.47E-2</v>
      </c>
      <c r="N292" s="13">
        <v>6.9199999999999998E-2</v>
      </c>
      <c r="O292" s="13">
        <v>5.2499999999999998E-2</v>
      </c>
      <c r="P292" s="16">
        <v>1</v>
      </c>
      <c r="Q292" s="16">
        <v>0.4471</v>
      </c>
      <c r="R292" s="16">
        <v>0.4471</v>
      </c>
      <c r="S292" s="16">
        <f t="shared" si="8"/>
        <v>0.63140000000000007</v>
      </c>
      <c r="T292" s="18">
        <v>0.58661318626222103</v>
      </c>
      <c r="U292" s="1">
        <v>19.60784314</v>
      </c>
      <c r="V292" s="1">
        <f t="shared" si="9"/>
        <v>3.025671738285832</v>
      </c>
      <c r="W292" s="26"/>
      <c r="X292">
        <v>5.5800000000000002E-2</v>
      </c>
      <c r="Y292" s="1">
        <v>5.8500000000000003E-2</v>
      </c>
      <c r="Z292" s="1">
        <v>5.6899999999999999E-2</v>
      </c>
      <c r="AA292" s="1">
        <v>7460</v>
      </c>
      <c r="AB292" s="1">
        <v>51</v>
      </c>
      <c r="AC292" s="29">
        <v>1508</v>
      </c>
    </row>
    <row r="293" spans="1:29">
      <c r="A293" s="12">
        <v>15</v>
      </c>
      <c r="B293" s="12" t="s">
        <v>216</v>
      </c>
      <c r="C293" s="12">
        <v>15757</v>
      </c>
      <c r="D293" s="12" t="s">
        <v>306</v>
      </c>
      <c r="E293" s="17">
        <v>0.55446173388377262</v>
      </c>
      <c r="F293" s="17">
        <v>0.44543241240605486</v>
      </c>
      <c r="G293" s="13">
        <v>1</v>
      </c>
      <c r="H293" s="13">
        <v>1.2444761225944405</v>
      </c>
      <c r="I293" s="14">
        <v>9.1535583578771984</v>
      </c>
      <c r="J293" s="16">
        <v>1.1264000000000001</v>
      </c>
      <c r="K293" s="16">
        <v>1.1264000000000001</v>
      </c>
      <c r="L293" s="13">
        <v>0.78239999999999998</v>
      </c>
      <c r="M293" s="13">
        <v>2.76E-2</v>
      </c>
      <c r="N293" s="13">
        <v>6.6900000000000001E-2</v>
      </c>
      <c r="O293" s="13">
        <v>2.1700000000000001E-2</v>
      </c>
      <c r="P293" s="16">
        <v>0.74439999999999995</v>
      </c>
      <c r="Q293" s="16">
        <v>0.25409999999999999</v>
      </c>
      <c r="R293" s="16">
        <v>0.25409999999999999</v>
      </c>
      <c r="S293" s="16">
        <f t="shared" si="8"/>
        <v>0.41753333333333331</v>
      </c>
      <c r="T293" s="18">
        <v>0.72967220093656804</v>
      </c>
      <c r="U293" s="1">
        <v>9.7087378639999997</v>
      </c>
      <c r="V293" s="1">
        <f t="shared" si="9"/>
        <v>2.3710600310166137</v>
      </c>
      <c r="W293" s="25"/>
      <c r="X293">
        <v>0.18490000000000001</v>
      </c>
      <c r="Y293" s="1">
        <v>0.441</v>
      </c>
      <c r="Z293" s="1">
        <v>0.3654</v>
      </c>
      <c r="AA293" s="1">
        <v>8424</v>
      </c>
      <c r="AB293" s="1">
        <v>103</v>
      </c>
      <c r="AC293" s="29">
        <v>1651</v>
      </c>
    </row>
    <row r="294" spans="1:29">
      <c r="A294" s="12">
        <v>15</v>
      </c>
      <c r="B294" s="12" t="s">
        <v>216</v>
      </c>
      <c r="C294" s="12">
        <v>15759</v>
      </c>
      <c r="D294" s="12" t="s">
        <v>308</v>
      </c>
      <c r="E294" s="17">
        <v>0.43267995279926574</v>
      </c>
      <c r="F294" s="17">
        <v>0.56730038022813689</v>
      </c>
      <c r="G294" s="13">
        <v>1</v>
      </c>
      <c r="H294" s="13">
        <v>0.76269110322752121</v>
      </c>
      <c r="I294" s="14">
        <v>11.935188691354274</v>
      </c>
      <c r="J294" s="16">
        <v>1.0905</v>
      </c>
      <c r="K294" s="16">
        <v>1.0891</v>
      </c>
      <c r="L294" s="13">
        <v>0.72819999999999996</v>
      </c>
      <c r="M294" s="13">
        <v>1.9900000000000001E-2</v>
      </c>
      <c r="N294" s="13">
        <v>7.0800000000000002E-2</v>
      </c>
      <c r="O294" s="13">
        <v>6.7799999999999999E-2</v>
      </c>
      <c r="P294" s="16">
        <v>0.70700000000000007</v>
      </c>
      <c r="Q294" s="16">
        <v>0.66220000000000001</v>
      </c>
      <c r="R294" s="16">
        <v>0.67749999999999999</v>
      </c>
      <c r="S294" s="16">
        <f t="shared" si="8"/>
        <v>0.68223333333333347</v>
      </c>
      <c r="T294" s="18">
        <v>1</v>
      </c>
      <c r="U294" s="1">
        <v>6.7681895089999999</v>
      </c>
      <c r="V294" s="1">
        <f t="shared" si="9"/>
        <v>2.0500371268036988</v>
      </c>
      <c r="W294" s="25"/>
      <c r="X294">
        <v>0.1996</v>
      </c>
      <c r="Y294" s="1">
        <v>4.8223000000000003</v>
      </c>
      <c r="Z294" s="1">
        <v>1.7617</v>
      </c>
      <c r="AA294" s="1">
        <v>136725</v>
      </c>
      <c r="AB294" s="1">
        <v>1182</v>
      </c>
      <c r="AC294" s="29">
        <v>22556</v>
      </c>
    </row>
    <row r="295" spans="1:29">
      <c r="A295" s="12">
        <v>15</v>
      </c>
      <c r="B295" s="12" t="s">
        <v>216</v>
      </c>
      <c r="C295" s="12">
        <v>15761</v>
      </c>
      <c r="D295" s="12" t="s">
        <v>309</v>
      </c>
      <c r="E295" s="17">
        <v>0.89645898700134474</v>
      </c>
      <c r="F295" s="17">
        <v>0.10354101299865531</v>
      </c>
      <c r="G295" s="13">
        <v>0.72247409326424872</v>
      </c>
      <c r="H295" s="13">
        <v>8.6206896551724146</v>
      </c>
      <c r="I295" s="14">
        <v>7.7106533235012016</v>
      </c>
      <c r="J295" s="16">
        <v>0.8609</v>
      </c>
      <c r="K295" s="16">
        <v>0.8609</v>
      </c>
      <c r="L295" s="13">
        <v>0.7077</v>
      </c>
      <c r="M295" s="13">
        <v>2.5399999999999999E-2</v>
      </c>
      <c r="N295" s="13">
        <v>0.1158</v>
      </c>
      <c r="O295" s="13">
        <v>9.8900000000000002E-2</v>
      </c>
      <c r="P295" s="16">
        <v>0.56769999999999998</v>
      </c>
      <c r="Q295" s="16">
        <v>0.48899999999999999</v>
      </c>
      <c r="R295" s="16">
        <v>0.42450000000000004</v>
      </c>
      <c r="S295" s="16">
        <f t="shared" si="8"/>
        <v>0.49373333333333336</v>
      </c>
      <c r="T295" s="18">
        <v>0.87883107626514601</v>
      </c>
      <c r="U295" s="1">
        <v>0</v>
      </c>
      <c r="V295" s="1">
        <f t="shared" si="9"/>
        <v>0</v>
      </c>
      <c r="W295" s="26"/>
      <c r="X295">
        <v>3.5999999999999997E-2</v>
      </c>
      <c r="Y295" s="1">
        <v>0.1905</v>
      </c>
      <c r="Z295" s="1">
        <v>0.17430000000000001</v>
      </c>
      <c r="AA295" s="1">
        <v>2963</v>
      </c>
      <c r="AB295" s="1">
        <v>4</v>
      </c>
      <c r="AC295" s="29">
        <v>366</v>
      </c>
    </row>
    <row r="296" spans="1:29">
      <c r="A296" s="12">
        <v>15</v>
      </c>
      <c r="B296" s="12" t="s">
        <v>216</v>
      </c>
      <c r="C296" s="12">
        <v>15762</v>
      </c>
      <c r="D296" s="12" t="s">
        <v>310</v>
      </c>
      <c r="E296" s="17">
        <v>0.8945131375579598</v>
      </c>
      <c r="F296" s="17">
        <v>0.10548686244204018</v>
      </c>
      <c r="G296" s="13">
        <v>0.79901204075331889</v>
      </c>
      <c r="H296" s="13">
        <v>8.4489051094890506</v>
      </c>
      <c r="I296" s="14">
        <v>7.8590269797515377</v>
      </c>
      <c r="J296" s="16">
        <v>0.8075</v>
      </c>
      <c r="K296" s="16">
        <v>0.8075</v>
      </c>
      <c r="L296" s="13">
        <v>0.51959999999999995</v>
      </c>
      <c r="M296" s="13">
        <v>7.4000000000000003E-3</v>
      </c>
      <c r="N296" s="13">
        <v>9.0399999999999994E-2</v>
      </c>
      <c r="O296" s="13">
        <v>4.0599999999999997E-2</v>
      </c>
      <c r="P296" s="16">
        <v>0.39149999999999996</v>
      </c>
      <c r="Q296" s="16">
        <v>0.1027</v>
      </c>
      <c r="R296" s="16">
        <v>0.1061</v>
      </c>
      <c r="S296" s="16">
        <f t="shared" si="8"/>
        <v>0.20009999999999997</v>
      </c>
      <c r="T296" s="18">
        <v>0.73315118397085599</v>
      </c>
      <c r="U296" s="1">
        <v>0</v>
      </c>
      <c r="V296" s="1">
        <f t="shared" si="9"/>
        <v>0</v>
      </c>
      <c r="W296" s="25"/>
      <c r="X296">
        <v>3.3700000000000001E-2</v>
      </c>
      <c r="Y296" s="1">
        <v>0.33879999999999999</v>
      </c>
      <c r="Z296" s="1">
        <v>0.2918</v>
      </c>
      <c r="AA296" s="1">
        <v>3150</v>
      </c>
      <c r="AB296" s="1">
        <v>16</v>
      </c>
      <c r="AC296" s="29">
        <v>608</v>
      </c>
    </row>
    <row r="297" spans="1:29">
      <c r="A297" s="12">
        <v>15</v>
      </c>
      <c r="B297" s="12" t="s">
        <v>216</v>
      </c>
      <c r="C297" s="12">
        <v>15763</v>
      </c>
      <c r="D297" s="12" t="s">
        <v>312</v>
      </c>
      <c r="E297" s="17">
        <v>0.77634241245136182</v>
      </c>
      <c r="F297" s="17">
        <v>0.22365758754863813</v>
      </c>
      <c r="G297" s="13">
        <v>0.73086110795131387</v>
      </c>
      <c r="H297" s="13">
        <v>3.4687065368567453</v>
      </c>
      <c r="I297" s="14">
        <v>8.7681075396758033</v>
      </c>
      <c r="J297" s="16">
        <v>0.73260000000000003</v>
      </c>
      <c r="K297" s="16">
        <v>0.73260000000000003</v>
      </c>
      <c r="L297" s="13">
        <v>0.32850000000000001</v>
      </c>
      <c r="M297" s="13">
        <v>1.7100000000000001E-2</v>
      </c>
      <c r="N297" s="13">
        <v>0.1085</v>
      </c>
      <c r="O297" s="13">
        <v>3.8800000000000001E-2</v>
      </c>
      <c r="P297" s="16">
        <v>0.56889999999999996</v>
      </c>
      <c r="Q297" s="16">
        <v>0.56889999999999996</v>
      </c>
      <c r="R297" s="16">
        <v>0.56889999999999996</v>
      </c>
      <c r="S297" s="16">
        <f t="shared" si="8"/>
        <v>0.56889999999999996</v>
      </c>
      <c r="T297" s="18">
        <v>0.93159509202453905</v>
      </c>
      <c r="U297" s="1">
        <v>0</v>
      </c>
      <c r="V297" s="1">
        <f t="shared" si="9"/>
        <v>0</v>
      </c>
      <c r="W297" s="25"/>
      <c r="X297">
        <v>7.1999999999999995E-2</v>
      </c>
      <c r="Y297" s="1">
        <v>0.27189999999999998</v>
      </c>
      <c r="Z297" s="1">
        <v>0.24049999999999999</v>
      </c>
      <c r="AA297" s="1">
        <v>8132</v>
      </c>
      <c r="AB297" s="1">
        <v>66</v>
      </c>
      <c r="AC297" s="29">
        <v>1582</v>
      </c>
    </row>
    <row r="298" spans="1:29">
      <c r="A298" s="12">
        <v>15</v>
      </c>
      <c r="B298" s="12" t="s">
        <v>216</v>
      </c>
      <c r="C298" s="12">
        <v>15764</v>
      </c>
      <c r="D298" s="12" t="s">
        <v>311</v>
      </c>
      <c r="E298" s="17">
        <v>0.85100108645041128</v>
      </c>
      <c r="F298" s="17">
        <v>0.14899891354958869</v>
      </c>
      <c r="G298" s="13">
        <v>1.0020217729393468</v>
      </c>
      <c r="H298" s="13">
        <v>5.7055150884495314</v>
      </c>
      <c r="I298" s="14">
        <v>8.7709047442968657</v>
      </c>
      <c r="J298" s="16">
        <v>1.2121</v>
      </c>
      <c r="K298" s="16">
        <v>1.2121</v>
      </c>
      <c r="L298" s="13">
        <v>0.99550000000000005</v>
      </c>
      <c r="M298" s="13">
        <v>2.53E-2</v>
      </c>
      <c r="N298" s="13">
        <v>0.12559999999999999</v>
      </c>
      <c r="O298" s="13">
        <v>0.1067</v>
      </c>
      <c r="P298" s="16">
        <v>3.7000000000000005E-2</v>
      </c>
      <c r="Q298" s="16">
        <v>3.7000000000000005E-2</v>
      </c>
      <c r="R298" s="16">
        <v>3.7000000000000005E-2</v>
      </c>
      <c r="S298" s="16">
        <f t="shared" si="8"/>
        <v>3.7000000000000005E-2</v>
      </c>
      <c r="T298" s="18">
        <v>1</v>
      </c>
      <c r="U298" s="1">
        <v>0</v>
      </c>
      <c r="V298" s="1">
        <f t="shared" si="9"/>
        <v>0</v>
      </c>
      <c r="W298" s="26"/>
      <c r="X298">
        <v>0.12640000000000001</v>
      </c>
      <c r="Y298" s="1">
        <v>1.2236</v>
      </c>
      <c r="Z298" s="1">
        <v>0.79910000000000003</v>
      </c>
      <c r="AA298" s="1">
        <v>6179</v>
      </c>
      <c r="AB298" s="1">
        <v>64</v>
      </c>
      <c r="AC298" s="29">
        <v>1321</v>
      </c>
    </row>
    <row r="299" spans="1:29">
      <c r="A299" s="12">
        <v>15</v>
      </c>
      <c r="B299" s="12" t="s">
        <v>216</v>
      </c>
      <c r="C299" s="12">
        <v>15774</v>
      </c>
      <c r="D299" s="12" t="s">
        <v>313</v>
      </c>
      <c r="E299" s="17">
        <v>0.93931939319393198</v>
      </c>
      <c r="F299" s="17">
        <v>6.0680606806068058E-2</v>
      </c>
      <c r="G299" s="13">
        <v>0.85041841004184104</v>
      </c>
      <c r="H299" s="13">
        <v>15.375838926174497</v>
      </c>
      <c r="I299" s="14">
        <v>7.7997533182872472</v>
      </c>
      <c r="J299" s="16">
        <v>0.59340000000000004</v>
      </c>
      <c r="K299" s="16">
        <v>0.59340000000000004</v>
      </c>
      <c r="L299" s="13">
        <v>0.57689999999999997</v>
      </c>
      <c r="M299" s="13">
        <v>4.6399999999999997E-2</v>
      </c>
      <c r="N299" s="13">
        <v>8.9300000000000004E-2</v>
      </c>
      <c r="O299" s="13">
        <v>1.0699999999999999E-2</v>
      </c>
      <c r="P299" s="16">
        <v>0.82540000000000002</v>
      </c>
      <c r="Q299" s="16">
        <v>0.75190000000000001</v>
      </c>
      <c r="R299" s="16">
        <v>0.38219999999999998</v>
      </c>
      <c r="S299" s="16">
        <f t="shared" si="8"/>
        <v>0.65316666666666678</v>
      </c>
      <c r="T299" s="18">
        <v>0.66447368421052599</v>
      </c>
      <c r="U299" s="1">
        <v>0</v>
      </c>
      <c r="V299" s="1">
        <f t="shared" si="9"/>
        <v>0</v>
      </c>
      <c r="W299" s="26"/>
      <c r="X299">
        <v>4.7399999999999998E-2</v>
      </c>
      <c r="Y299" s="1">
        <v>0.06</v>
      </c>
      <c r="Z299" s="1">
        <v>5.8200000000000002E-2</v>
      </c>
      <c r="AA299" s="1">
        <v>2795</v>
      </c>
      <c r="AB299" s="1">
        <v>18</v>
      </c>
      <c r="AC299" s="29">
        <v>443</v>
      </c>
    </row>
    <row r="300" spans="1:29">
      <c r="A300" s="12">
        <v>15</v>
      </c>
      <c r="B300" s="12" t="s">
        <v>216</v>
      </c>
      <c r="C300" s="12">
        <v>15776</v>
      </c>
      <c r="D300" s="12" t="s">
        <v>314</v>
      </c>
      <c r="E300" s="17">
        <v>0.88486842105263153</v>
      </c>
      <c r="F300" s="17">
        <v>0.11513157894736842</v>
      </c>
      <c r="G300" s="13">
        <v>0.92303021102170946</v>
      </c>
      <c r="H300" s="13">
        <v>7.674750356633381</v>
      </c>
      <c r="I300" s="14">
        <v>8.7129244351201098</v>
      </c>
      <c r="J300" s="16">
        <v>0.74129999999999996</v>
      </c>
      <c r="K300" s="16">
        <v>0.74129999999999996</v>
      </c>
      <c r="L300" s="13">
        <v>0.4703</v>
      </c>
      <c r="M300" s="13">
        <v>2.0899999999999998E-2</v>
      </c>
      <c r="N300" s="13">
        <v>4.8500000000000001E-2</v>
      </c>
      <c r="O300" s="13">
        <v>6.6100000000000006E-2</v>
      </c>
      <c r="P300" s="16">
        <v>0.621</v>
      </c>
      <c r="Q300" s="16">
        <v>0.2147</v>
      </c>
      <c r="R300" s="16">
        <v>0.2147</v>
      </c>
      <c r="S300" s="16">
        <f t="shared" si="8"/>
        <v>0.35013333333333335</v>
      </c>
      <c r="T300" s="18">
        <v>0.95805443998215001</v>
      </c>
      <c r="U300" s="1">
        <v>0</v>
      </c>
      <c r="V300" s="1">
        <f t="shared" si="9"/>
        <v>0</v>
      </c>
      <c r="W300" s="25"/>
      <c r="X300">
        <v>8.7999999999999995E-2</v>
      </c>
      <c r="Y300" s="1">
        <v>0.35039999999999999</v>
      </c>
      <c r="Z300" s="1">
        <v>0.3004</v>
      </c>
      <c r="AA300" s="1">
        <v>6304</v>
      </c>
      <c r="AB300" s="1">
        <v>61</v>
      </c>
      <c r="AC300" s="29">
        <v>1128</v>
      </c>
    </row>
    <row r="301" spans="1:29">
      <c r="A301" s="12">
        <v>15</v>
      </c>
      <c r="B301" s="12" t="s">
        <v>216</v>
      </c>
      <c r="C301" s="12">
        <v>15778</v>
      </c>
      <c r="D301" s="12" t="s">
        <v>315</v>
      </c>
      <c r="E301" s="17">
        <v>0.8630022321428571</v>
      </c>
      <c r="F301" s="17">
        <v>0.13699776785714285</v>
      </c>
      <c r="G301" s="13">
        <v>0.79012345679012341</v>
      </c>
      <c r="H301" s="13">
        <v>6.2865853658536581</v>
      </c>
      <c r="I301" s="14">
        <v>8.1845137530337215</v>
      </c>
      <c r="J301" s="16">
        <v>0.52100000000000002</v>
      </c>
      <c r="K301" s="16">
        <v>0.52100000000000002</v>
      </c>
      <c r="L301" s="13">
        <v>0.40870000000000001</v>
      </c>
      <c r="M301" s="13">
        <v>8.3999999999999995E-3</v>
      </c>
      <c r="N301" s="13">
        <v>8.4000000000000005E-2</v>
      </c>
      <c r="O301" s="13">
        <v>5.6000000000000001E-2</v>
      </c>
      <c r="P301" s="16">
        <v>0.91790000000000005</v>
      </c>
      <c r="Q301" s="16">
        <v>0.1013</v>
      </c>
      <c r="R301" s="16">
        <v>0.11789999999999999</v>
      </c>
      <c r="S301" s="16">
        <f t="shared" si="8"/>
        <v>0.37903333333333333</v>
      </c>
      <c r="T301" s="18">
        <v>0.80535894843276001</v>
      </c>
      <c r="U301" s="1">
        <v>0</v>
      </c>
      <c r="V301" s="1">
        <f t="shared" si="9"/>
        <v>0</v>
      </c>
      <c r="W301" s="26"/>
      <c r="X301">
        <v>0.1113</v>
      </c>
      <c r="Y301" s="1">
        <v>0.56440000000000001</v>
      </c>
      <c r="Z301" s="1">
        <v>0.44750000000000001</v>
      </c>
      <c r="AA301" s="1">
        <v>4257</v>
      </c>
      <c r="AB301" s="1">
        <v>19</v>
      </c>
      <c r="AC301" s="29">
        <v>627</v>
      </c>
    </row>
    <row r="302" spans="1:29">
      <c r="A302" s="12">
        <v>15</v>
      </c>
      <c r="B302" s="12" t="s">
        <v>216</v>
      </c>
      <c r="C302" s="12">
        <v>15790</v>
      </c>
      <c r="D302" s="12" t="s">
        <v>316</v>
      </c>
      <c r="E302" s="17">
        <v>0.65070473436935306</v>
      </c>
      <c r="F302" s="17">
        <v>0.34929526563064689</v>
      </c>
      <c r="G302" s="13">
        <v>0.89028314028314026</v>
      </c>
      <c r="H302" s="13">
        <v>1.8619441571871769</v>
      </c>
      <c r="I302" s="14">
        <v>8.6188468451427376</v>
      </c>
      <c r="J302" s="16">
        <v>0.77559999999999996</v>
      </c>
      <c r="K302" s="16">
        <v>0.77559999999999996</v>
      </c>
      <c r="L302" s="13">
        <v>0.52080000000000004</v>
      </c>
      <c r="M302" s="13">
        <v>1.24E-2</v>
      </c>
      <c r="N302" s="13">
        <v>8.3599999999999994E-2</v>
      </c>
      <c r="O302" s="13">
        <v>5.5800000000000002E-2</v>
      </c>
      <c r="P302" s="16">
        <v>1</v>
      </c>
      <c r="Q302" s="16">
        <v>0.12909999999999999</v>
      </c>
      <c r="R302" s="16">
        <v>0.12909999999999999</v>
      </c>
      <c r="S302" s="16">
        <f t="shared" si="8"/>
        <v>0.4194</v>
      </c>
      <c r="T302" s="18">
        <v>0.72268907563025198</v>
      </c>
      <c r="U302" s="1">
        <v>48.780487800000003</v>
      </c>
      <c r="V302" s="1">
        <f t="shared" si="9"/>
        <v>3.907623096007546</v>
      </c>
      <c r="W302" s="25"/>
      <c r="X302">
        <v>7.7700000000000005E-2</v>
      </c>
      <c r="Y302" s="1">
        <v>0.1724</v>
      </c>
      <c r="Z302" s="1">
        <v>0.159</v>
      </c>
      <c r="AA302" s="1">
        <v>6012</v>
      </c>
      <c r="AB302" s="1">
        <v>41</v>
      </c>
      <c r="AC302" s="29">
        <v>1129</v>
      </c>
    </row>
    <row r="303" spans="1:29">
      <c r="A303" s="12">
        <v>15</v>
      </c>
      <c r="B303" s="12" t="s">
        <v>216</v>
      </c>
      <c r="C303" s="12">
        <v>15798</v>
      </c>
      <c r="D303" s="12" t="s">
        <v>317</v>
      </c>
      <c r="E303" s="17">
        <v>0.83715596330275233</v>
      </c>
      <c r="F303" s="17">
        <v>0.1628440366972477</v>
      </c>
      <c r="G303" s="13">
        <v>0.8534377293858576</v>
      </c>
      <c r="H303" s="13">
        <v>5.1318101933216171</v>
      </c>
      <c r="I303" s="14">
        <v>8.1573704411867745</v>
      </c>
      <c r="J303" s="16">
        <v>0.74870000000000003</v>
      </c>
      <c r="K303" s="16">
        <v>0.74870000000000003</v>
      </c>
      <c r="L303" s="13">
        <v>0.55769999999999997</v>
      </c>
      <c r="M303" s="13">
        <v>2.0500000000000001E-2</v>
      </c>
      <c r="N303" s="13">
        <v>3.8600000000000002E-2</v>
      </c>
      <c r="O303" s="13">
        <v>8.6400000000000005E-2</v>
      </c>
      <c r="P303" s="16">
        <v>0.44219999999999998</v>
      </c>
      <c r="Q303" s="16">
        <v>0.28260000000000002</v>
      </c>
      <c r="R303" s="16">
        <v>0.28309999999999996</v>
      </c>
      <c r="S303" s="16">
        <f t="shared" si="8"/>
        <v>0.33596666666666669</v>
      </c>
      <c r="T303" s="18">
        <v>0.639770554493307</v>
      </c>
      <c r="U303" s="1">
        <v>0</v>
      </c>
      <c r="V303" s="1">
        <f t="shared" si="9"/>
        <v>0</v>
      </c>
      <c r="W303" s="26"/>
      <c r="X303">
        <v>4.3799999999999999E-2</v>
      </c>
      <c r="Y303" s="1">
        <v>9.4500000000000001E-2</v>
      </c>
      <c r="Z303" s="1">
        <v>9.0300000000000005E-2</v>
      </c>
      <c r="AA303" s="1">
        <v>3673</v>
      </c>
      <c r="AB303" s="1">
        <v>21</v>
      </c>
      <c r="AC303" s="29">
        <v>516</v>
      </c>
    </row>
    <row r="304" spans="1:29">
      <c r="A304" s="12">
        <v>15</v>
      </c>
      <c r="B304" s="12" t="s">
        <v>216</v>
      </c>
      <c r="C304" s="12">
        <v>15804</v>
      </c>
      <c r="D304" s="12" t="s">
        <v>318</v>
      </c>
      <c r="E304" s="17">
        <v>0.94082387450580285</v>
      </c>
      <c r="F304" s="17">
        <v>5.9176125494197165E-2</v>
      </c>
      <c r="G304" s="13">
        <v>0.80885083556839277</v>
      </c>
      <c r="H304" s="13">
        <v>15.864516129032259</v>
      </c>
      <c r="I304" s="14">
        <v>8.9672491828522762</v>
      </c>
      <c r="J304" s="16">
        <v>0.74550000000000005</v>
      </c>
      <c r="K304" s="16">
        <v>0.74550000000000005</v>
      </c>
      <c r="L304" s="13">
        <v>0.49809999999999999</v>
      </c>
      <c r="M304" s="13">
        <v>1.5100000000000001E-2</v>
      </c>
      <c r="N304" s="13">
        <v>4.5400000000000003E-2</v>
      </c>
      <c r="O304" s="13">
        <v>4.5400000000000003E-2</v>
      </c>
      <c r="P304" s="16">
        <v>0.21820000000000001</v>
      </c>
      <c r="Q304" s="16">
        <v>9.3900000000000011E-2</v>
      </c>
      <c r="R304" s="16">
        <v>9.3900000000000011E-2</v>
      </c>
      <c r="S304" s="16">
        <f t="shared" si="8"/>
        <v>0.13533333333333333</v>
      </c>
      <c r="T304" s="18">
        <v>0.87687822381699898</v>
      </c>
      <c r="U304" s="1">
        <v>0</v>
      </c>
      <c r="V304" s="1">
        <f t="shared" si="9"/>
        <v>0</v>
      </c>
      <c r="W304" s="25"/>
      <c r="X304">
        <v>2.7900000000000001E-2</v>
      </c>
      <c r="Y304" s="1">
        <v>0.1487</v>
      </c>
      <c r="Z304" s="1">
        <v>0.1386</v>
      </c>
      <c r="AA304" s="1">
        <v>9107</v>
      </c>
      <c r="AB304" s="1">
        <v>48</v>
      </c>
      <c r="AC304" s="29">
        <v>1582</v>
      </c>
    </row>
    <row r="305" spans="1:29">
      <c r="A305" s="12">
        <v>15</v>
      </c>
      <c r="B305" s="12" t="s">
        <v>216</v>
      </c>
      <c r="C305" s="12">
        <v>15806</v>
      </c>
      <c r="D305" s="12" t="s">
        <v>319</v>
      </c>
      <c r="E305" s="17">
        <v>0.77291565090199899</v>
      </c>
      <c r="F305" s="17">
        <v>0.22708434909800099</v>
      </c>
      <c r="G305" s="13">
        <v>0.5833748133399701</v>
      </c>
      <c r="H305" s="13">
        <v>3.4018240343347639</v>
      </c>
      <c r="I305" s="14">
        <v>9.0124990035241908</v>
      </c>
      <c r="J305" s="16">
        <v>0.75180000000000002</v>
      </c>
      <c r="K305" s="16">
        <v>0.75180000000000002</v>
      </c>
      <c r="L305" s="13">
        <v>0.42680000000000001</v>
      </c>
      <c r="M305" s="13">
        <v>3.8800000000000001E-2</v>
      </c>
      <c r="N305" s="13">
        <v>0.11409999999999999</v>
      </c>
      <c r="O305" s="13">
        <v>5.5599999999999997E-2</v>
      </c>
      <c r="P305" s="16">
        <v>1</v>
      </c>
      <c r="Q305" s="16">
        <v>0.49609999999999999</v>
      </c>
      <c r="R305" s="16">
        <v>0.73260000000000003</v>
      </c>
      <c r="S305" s="16">
        <f t="shared" si="8"/>
        <v>0.7429</v>
      </c>
      <c r="T305" s="18">
        <v>0.8985544002028909</v>
      </c>
      <c r="U305" s="1">
        <v>0</v>
      </c>
      <c r="V305" s="1">
        <f t="shared" si="9"/>
        <v>0</v>
      </c>
      <c r="W305" s="26"/>
      <c r="X305">
        <v>0.98529999999999995</v>
      </c>
      <c r="Y305" s="1">
        <v>3.4432</v>
      </c>
      <c r="Z305" s="1">
        <v>1.4914000000000001</v>
      </c>
      <c r="AA305" s="1">
        <v>13579</v>
      </c>
      <c r="AB305" s="1">
        <v>96</v>
      </c>
      <c r="AC305" s="29">
        <v>2297</v>
      </c>
    </row>
    <row r="306" spans="1:29">
      <c r="A306" s="12">
        <v>15</v>
      </c>
      <c r="B306" s="12" t="s">
        <v>216</v>
      </c>
      <c r="C306" s="12">
        <v>15808</v>
      </c>
      <c r="D306" s="12" t="s">
        <v>320</v>
      </c>
      <c r="E306" s="17">
        <v>0.86580406654343811</v>
      </c>
      <c r="F306" s="17">
        <v>0.13419593345656192</v>
      </c>
      <c r="G306" s="13">
        <v>0.76477240599378005</v>
      </c>
      <c r="H306" s="13">
        <v>6.4340659340659343</v>
      </c>
      <c r="I306" s="14">
        <v>7.9032268087307331</v>
      </c>
      <c r="J306" s="16">
        <v>0.8639</v>
      </c>
      <c r="K306" s="16">
        <v>0.8639</v>
      </c>
      <c r="L306" s="13">
        <v>0.5</v>
      </c>
      <c r="M306" s="13">
        <v>4.4499999999999998E-2</v>
      </c>
      <c r="N306" s="13">
        <v>9.5100000000000004E-2</v>
      </c>
      <c r="O306" s="13">
        <v>0.1053</v>
      </c>
      <c r="P306" s="16">
        <v>0.46490000000000004</v>
      </c>
      <c r="Q306" s="16">
        <v>0.19550000000000001</v>
      </c>
      <c r="R306" s="16">
        <v>0.27339999999999998</v>
      </c>
      <c r="S306" s="16">
        <f t="shared" si="8"/>
        <v>0.31126666666666669</v>
      </c>
      <c r="T306" s="18">
        <v>0.96346414073071696</v>
      </c>
      <c r="U306" s="1">
        <v>0</v>
      </c>
      <c r="V306" s="1">
        <f t="shared" si="9"/>
        <v>0</v>
      </c>
      <c r="W306" s="25"/>
      <c r="X306">
        <v>3.49E-2</v>
      </c>
      <c r="Y306" s="1">
        <v>0.2351</v>
      </c>
      <c r="Z306" s="1">
        <v>0.21110000000000001</v>
      </c>
      <c r="AA306" s="1">
        <v>3552</v>
      </c>
      <c r="AB306" s="1">
        <v>29</v>
      </c>
      <c r="AC306" s="29">
        <v>587</v>
      </c>
    </row>
    <row r="307" spans="1:29">
      <c r="A307" s="12">
        <v>15</v>
      </c>
      <c r="B307" s="12" t="s">
        <v>216</v>
      </c>
      <c r="C307" s="12">
        <v>15810</v>
      </c>
      <c r="D307" s="12" t="s">
        <v>321</v>
      </c>
      <c r="E307" s="17">
        <v>0.9076751946607341</v>
      </c>
      <c r="F307" s="17">
        <v>9.2324805339265847E-2</v>
      </c>
      <c r="G307" s="13">
        <v>1</v>
      </c>
      <c r="H307" s="13">
        <v>9.8018018018018012</v>
      </c>
      <c r="I307" s="14">
        <v>8.1878554436956232</v>
      </c>
      <c r="J307" s="16">
        <v>0.82740000000000002</v>
      </c>
      <c r="K307" s="16">
        <v>0.82740000000000002</v>
      </c>
      <c r="L307" s="13">
        <v>0.6</v>
      </c>
      <c r="M307" s="13">
        <v>1.0999999999999999E-2</v>
      </c>
      <c r="N307" s="13">
        <v>5.8900000000000001E-2</v>
      </c>
      <c r="O307" s="13">
        <v>0.10680000000000001</v>
      </c>
      <c r="P307" s="16">
        <v>0.48599999999999999</v>
      </c>
      <c r="Q307" s="16">
        <v>0.28039999999999998</v>
      </c>
      <c r="R307" s="16">
        <v>0.17499999999999999</v>
      </c>
      <c r="S307" s="16">
        <f t="shared" si="8"/>
        <v>0.31380000000000002</v>
      </c>
      <c r="T307" s="18">
        <v>0.88292253521126696</v>
      </c>
      <c r="U307" s="1">
        <v>0</v>
      </c>
      <c r="V307" s="1">
        <f t="shared" si="9"/>
        <v>0</v>
      </c>
      <c r="W307" s="26"/>
      <c r="X307">
        <v>3.9100000000000003E-2</v>
      </c>
      <c r="Y307" s="1">
        <v>0.1552</v>
      </c>
      <c r="Z307" s="1">
        <v>0.14419999999999999</v>
      </c>
      <c r="AA307" s="1">
        <v>3217</v>
      </c>
      <c r="AB307" s="1">
        <v>17</v>
      </c>
      <c r="AC307" s="29">
        <v>558</v>
      </c>
    </row>
    <row r="308" spans="1:29">
      <c r="A308" s="12">
        <v>15</v>
      </c>
      <c r="B308" s="12" t="s">
        <v>216</v>
      </c>
      <c r="C308" s="12">
        <v>15814</v>
      </c>
      <c r="D308" s="12" t="s">
        <v>322</v>
      </c>
      <c r="E308" s="17">
        <v>0.79794871794871791</v>
      </c>
      <c r="F308" s="17">
        <v>0.20205128205128206</v>
      </c>
      <c r="G308" s="13">
        <v>1</v>
      </c>
      <c r="H308" s="13">
        <v>3.9472349061390157</v>
      </c>
      <c r="I308" s="14">
        <v>9.1851251228351192</v>
      </c>
      <c r="J308" s="16">
        <v>1.0315000000000001</v>
      </c>
      <c r="K308" s="16">
        <v>1.0309999999999999</v>
      </c>
      <c r="L308" s="13">
        <v>0.67210000000000003</v>
      </c>
      <c r="M308" s="13">
        <v>2.1999999999999999E-2</v>
      </c>
      <c r="N308" s="13">
        <v>6.9599999999999995E-2</v>
      </c>
      <c r="O308" s="13">
        <v>6.9000000000000006E-2</v>
      </c>
      <c r="P308" s="16">
        <v>0.99919999999999998</v>
      </c>
      <c r="Q308" s="16">
        <v>0.48299999999999998</v>
      </c>
      <c r="R308" s="16">
        <v>0.49049999999999999</v>
      </c>
      <c r="S308" s="16">
        <f t="shared" si="8"/>
        <v>0.65756666666666663</v>
      </c>
      <c r="T308" s="18">
        <v>0.99330954504906299</v>
      </c>
      <c r="U308" s="1">
        <v>0</v>
      </c>
      <c r="V308" s="1">
        <f t="shared" si="9"/>
        <v>0</v>
      </c>
      <c r="W308" s="25"/>
      <c r="X308">
        <v>3.4299999999999997E-2</v>
      </c>
      <c r="Y308" s="1">
        <v>0.26450000000000001</v>
      </c>
      <c r="Z308" s="1">
        <v>0.2346</v>
      </c>
      <c r="AA308" s="1">
        <v>8960</v>
      </c>
      <c r="AB308" s="1">
        <v>120</v>
      </c>
      <c r="AC308" s="29">
        <v>1831</v>
      </c>
    </row>
    <row r="309" spans="1:29">
      <c r="A309" s="12">
        <v>15</v>
      </c>
      <c r="B309" s="12" t="s">
        <v>216</v>
      </c>
      <c r="C309" s="12">
        <v>15816</v>
      </c>
      <c r="D309" s="12" t="s">
        <v>323</v>
      </c>
      <c r="E309" s="17">
        <v>0.94954992673225869</v>
      </c>
      <c r="F309" s="17">
        <v>5.0450073267741258E-2</v>
      </c>
      <c r="G309" s="13">
        <v>1</v>
      </c>
      <c r="H309" s="13">
        <v>18.743801652892561</v>
      </c>
      <c r="I309" s="14">
        <v>8.4717773278857553</v>
      </c>
      <c r="J309" s="16">
        <v>0.81299999999999994</v>
      </c>
      <c r="K309" s="16">
        <v>0.81299999999999994</v>
      </c>
      <c r="L309" s="13">
        <v>0.60429999999999995</v>
      </c>
      <c r="M309" s="13">
        <v>6.25E-2</v>
      </c>
      <c r="N309" s="13">
        <v>0.08</v>
      </c>
      <c r="O309" s="13">
        <v>7.4999999999999997E-2</v>
      </c>
      <c r="P309" s="16">
        <v>0.46460000000000001</v>
      </c>
      <c r="Q309" s="16">
        <v>0.1527</v>
      </c>
      <c r="R309" s="16">
        <v>0.1527</v>
      </c>
      <c r="S309" s="16">
        <f t="shared" si="8"/>
        <v>0.25666666666666665</v>
      </c>
      <c r="T309" s="18">
        <v>0.99875930521091805</v>
      </c>
      <c r="U309" s="1">
        <v>0</v>
      </c>
      <c r="V309" s="1">
        <f t="shared" si="9"/>
        <v>0</v>
      </c>
      <c r="W309" s="26"/>
      <c r="X309">
        <v>4.2099999999999999E-2</v>
      </c>
      <c r="Y309" s="1">
        <v>8.5800000000000001E-2</v>
      </c>
      <c r="Z309" s="1">
        <v>8.2299999999999998E-2</v>
      </c>
      <c r="AA309" s="1">
        <v>4440</v>
      </c>
      <c r="AB309" s="1">
        <v>34</v>
      </c>
      <c r="AC309" s="29">
        <v>885</v>
      </c>
    </row>
    <row r="310" spans="1:29">
      <c r="A310" s="12">
        <v>15</v>
      </c>
      <c r="B310" s="12" t="s">
        <v>216</v>
      </c>
      <c r="C310" s="12">
        <v>15820</v>
      </c>
      <c r="D310" s="12" t="s">
        <v>324</v>
      </c>
      <c r="E310" s="17">
        <v>0.72820993439550141</v>
      </c>
      <c r="F310" s="17">
        <v>0.27179006560449859</v>
      </c>
      <c r="G310" s="13">
        <v>0.82563838019086921</v>
      </c>
      <c r="H310" s="13">
        <v>2.6762342135476462</v>
      </c>
      <c r="I310" s="14">
        <v>8.0715308935566608</v>
      </c>
      <c r="J310" s="16">
        <v>0.82189999999999996</v>
      </c>
      <c r="K310" s="16">
        <v>0.82189999999999996</v>
      </c>
      <c r="L310" s="13">
        <v>0.36</v>
      </c>
      <c r="M310" s="13">
        <v>2.01E-2</v>
      </c>
      <c r="N310" s="13">
        <v>0.16669999999999999</v>
      </c>
      <c r="O310" s="13">
        <v>4.7800000000000002E-2</v>
      </c>
      <c r="P310" s="16">
        <v>1</v>
      </c>
      <c r="Q310" s="16">
        <v>0.71790000000000009</v>
      </c>
      <c r="R310" s="16">
        <v>0.56289999999999996</v>
      </c>
      <c r="S310" s="16">
        <f t="shared" si="8"/>
        <v>0.76026666666666676</v>
      </c>
      <c r="T310" s="18">
        <v>0.95403295750216799</v>
      </c>
      <c r="U310" s="1">
        <v>0</v>
      </c>
      <c r="V310" s="1">
        <f t="shared" si="9"/>
        <v>0</v>
      </c>
      <c r="W310" s="25"/>
      <c r="X310">
        <v>0.1469</v>
      </c>
      <c r="Y310" s="1">
        <v>2.3523999999999998</v>
      </c>
      <c r="Z310" s="1">
        <v>1.2097</v>
      </c>
      <c r="AA310" s="1">
        <v>3720</v>
      </c>
      <c r="AB310" s="1">
        <v>32</v>
      </c>
      <c r="AC310" s="29">
        <v>714</v>
      </c>
    </row>
    <row r="311" spans="1:29">
      <c r="A311" s="12">
        <v>15</v>
      </c>
      <c r="B311" s="12" t="s">
        <v>216</v>
      </c>
      <c r="C311" s="12">
        <v>15822</v>
      </c>
      <c r="D311" s="12" t="s">
        <v>325</v>
      </c>
      <c r="E311" s="17">
        <v>0.94280193236714971</v>
      </c>
      <c r="F311" s="17">
        <v>5.7198067632850243E-2</v>
      </c>
      <c r="G311" s="13">
        <v>0.93226445685462078</v>
      </c>
      <c r="H311" s="13">
        <v>16.427609427609429</v>
      </c>
      <c r="I311" s="14">
        <v>8.5517878361807362</v>
      </c>
      <c r="J311" s="16">
        <v>0.79120000000000001</v>
      </c>
      <c r="K311" s="16">
        <v>0.79120000000000001</v>
      </c>
      <c r="L311" s="13">
        <v>0.53759999999999997</v>
      </c>
      <c r="M311" s="13">
        <v>1.8599999999999998E-2</v>
      </c>
      <c r="N311" s="13">
        <v>9.7600000000000006E-2</v>
      </c>
      <c r="O311" s="13">
        <v>7.46E-2</v>
      </c>
      <c r="P311" s="16">
        <v>1</v>
      </c>
      <c r="Q311" s="16">
        <v>1</v>
      </c>
      <c r="R311" s="16">
        <v>0.21629999999999999</v>
      </c>
      <c r="S311" s="16">
        <f t="shared" si="8"/>
        <v>0.73876666666666668</v>
      </c>
      <c r="T311" s="18">
        <v>0.70790378006872801</v>
      </c>
      <c r="U311" s="1">
        <v>0</v>
      </c>
      <c r="V311" s="1">
        <f t="shared" si="9"/>
        <v>0</v>
      </c>
      <c r="W311" s="26"/>
      <c r="X311">
        <v>2.8299999999999999E-2</v>
      </c>
      <c r="Y311" s="1">
        <v>0.1288</v>
      </c>
      <c r="Z311" s="1">
        <v>0.1212</v>
      </c>
      <c r="AA311" s="1">
        <v>5161</v>
      </c>
      <c r="AB311" s="1">
        <v>37</v>
      </c>
      <c r="AC311" s="29">
        <v>1054</v>
      </c>
    </row>
    <row r="312" spans="1:29">
      <c r="A312" s="12">
        <v>15</v>
      </c>
      <c r="B312" s="12" t="s">
        <v>216</v>
      </c>
      <c r="C312" s="12">
        <v>15832</v>
      </c>
      <c r="D312" s="12" t="s">
        <v>327</v>
      </c>
      <c r="E312" s="17">
        <v>0.92947103274559195</v>
      </c>
      <c r="F312" s="17">
        <v>7.0528967254408062E-2</v>
      </c>
      <c r="G312" s="13">
        <v>0.96184130829800119</v>
      </c>
      <c r="H312" s="13">
        <v>13.061946902654867</v>
      </c>
      <c r="I312" s="14">
        <v>7.3708601665367164</v>
      </c>
      <c r="J312" s="16">
        <v>0.89119999999999999</v>
      </c>
      <c r="K312" s="16">
        <v>0.89119999999999999</v>
      </c>
      <c r="L312" s="13">
        <v>0.70450000000000002</v>
      </c>
      <c r="M312" s="13">
        <v>7.3000000000000001E-3</v>
      </c>
      <c r="N312" s="13">
        <v>7.6600000000000001E-2</v>
      </c>
      <c r="O312" s="13">
        <v>8.7599999999999997E-2</v>
      </c>
      <c r="P312" s="16">
        <v>0.49320000000000003</v>
      </c>
      <c r="Q312" s="16">
        <v>8.0100000000000005E-2</v>
      </c>
      <c r="R312" s="16">
        <v>8.0100000000000005E-2</v>
      </c>
      <c r="S312" s="16">
        <f t="shared" si="8"/>
        <v>0.21779999999999999</v>
      </c>
      <c r="T312" s="18">
        <v>1</v>
      </c>
      <c r="U312" s="1">
        <v>0</v>
      </c>
      <c r="V312" s="1">
        <f t="shared" si="9"/>
        <v>0</v>
      </c>
      <c r="W312" s="26"/>
      <c r="X312">
        <v>4.8399999999999999E-2</v>
      </c>
      <c r="Y312" s="1">
        <v>7.3999999999999996E-2</v>
      </c>
      <c r="Z312" s="1">
        <v>7.1400000000000005E-2</v>
      </c>
      <c r="AA312" s="1">
        <v>1570</v>
      </c>
      <c r="AB312" s="1">
        <v>7</v>
      </c>
      <c r="AC312" s="29">
        <v>278</v>
      </c>
    </row>
    <row r="313" spans="1:29">
      <c r="A313" s="12">
        <v>15</v>
      </c>
      <c r="B313" s="12" t="s">
        <v>216</v>
      </c>
      <c r="C313" s="12">
        <v>15835</v>
      </c>
      <c r="D313" s="12" t="s">
        <v>328</v>
      </c>
      <c r="E313" s="17">
        <v>0.92855910267471964</v>
      </c>
      <c r="F313" s="17">
        <v>7.1440897325280417E-2</v>
      </c>
      <c r="G313" s="13">
        <v>0.88771446078431371</v>
      </c>
      <c r="H313" s="13">
        <v>12.966265060240964</v>
      </c>
      <c r="I313" s="14">
        <v>8.6649233034405722</v>
      </c>
      <c r="J313" s="16">
        <v>1.0606</v>
      </c>
      <c r="K313" s="16">
        <v>1.0606</v>
      </c>
      <c r="L313" s="13">
        <v>1.0851</v>
      </c>
      <c r="M313" s="13">
        <v>9.2999999999999992E-3</v>
      </c>
      <c r="N313" s="13">
        <v>6.0699999999999997E-2</v>
      </c>
      <c r="O313" s="13">
        <v>2.8000000000000001E-2</v>
      </c>
      <c r="P313" s="16">
        <v>0.7903</v>
      </c>
      <c r="Q313" s="16">
        <v>0.24989999999999998</v>
      </c>
      <c r="R313" s="16">
        <v>0.25230000000000002</v>
      </c>
      <c r="S313" s="16">
        <f t="shared" si="8"/>
        <v>0.43083333333333335</v>
      </c>
      <c r="T313" s="18">
        <v>1</v>
      </c>
      <c r="U313" s="1">
        <v>0</v>
      </c>
      <c r="V313" s="1">
        <f t="shared" si="9"/>
        <v>0</v>
      </c>
      <c r="W313" s="25"/>
      <c r="X313">
        <v>2.63E-2</v>
      </c>
      <c r="Y313" s="1">
        <v>0.25950000000000001</v>
      </c>
      <c r="Z313" s="1">
        <v>0.23069999999999999</v>
      </c>
      <c r="AA313" s="1">
        <v>5756</v>
      </c>
      <c r="AB313" s="1">
        <v>30</v>
      </c>
      <c r="AC313" s="29">
        <v>995</v>
      </c>
    </row>
    <row r="314" spans="1:29">
      <c r="A314" s="12">
        <v>15</v>
      </c>
      <c r="B314" s="12" t="s">
        <v>216</v>
      </c>
      <c r="C314" s="12">
        <v>15837</v>
      </c>
      <c r="D314" s="12" t="s">
        <v>329</v>
      </c>
      <c r="E314" s="17">
        <v>0.80369318181818183</v>
      </c>
      <c r="F314" s="17">
        <v>0.19630681818181819</v>
      </c>
      <c r="G314" s="13">
        <v>0.78968031407739769</v>
      </c>
      <c r="H314" s="13">
        <v>4.0911062906724514</v>
      </c>
      <c r="I314" s="14">
        <v>8.8595054845191328</v>
      </c>
      <c r="J314" s="16">
        <v>1.0986</v>
      </c>
      <c r="K314" s="16">
        <v>1.0986</v>
      </c>
      <c r="L314" s="13">
        <v>0.73129999999999995</v>
      </c>
      <c r="M314" s="13">
        <v>2.5100000000000001E-2</v>
      </c>
      <c r="N314" s="13">
        <v>8.48E-2</v>
      </c>
      <c r="O314" s="13">
        <v>2.6800000000000001E-2</v>
      </c>
      <c r="P314" s="16">
        <v>0.26719999999999999</v>
      </c>
      <c r="Q314" s="16">
        <v>8.2899999999999988E-2</v>
      </c>
      <c r="R314" s="16">
        <v>9.6799999999999997E-2</v>
      </c>
      <c r="S314" s="16">
        <f t="shared" si="8"/>
        <v>0.14896666666666666</v>
      </c>
      <c r="T314" s="18">
        <v>1</v>
      </c>
      <c r="U314" s="1">
        <v>0</v>
      </c>
      <c r="V314" s="1">
        <f t="shared" si="9"/>
        <v>0</v>
      </c>
      <c r="W314" s="26"/>
      <c r="X314">
        <v>0.73799999999999999</v>
      </c>
      <c r="Y314" s="1">
        <v>1.0468</v>
      </c>
      <c r="Z314" s="1">
        <v>0.71630000000000005</v>
      </c>
      <c r="AA314" s="1">
        <v>8251</v>
      </c>
      <c r="AB314" s="1">
        <v>58</v>
      </c>
      <c r="AC314" s="29">
        <v>1565</v>
      </c>
    </row>
    <row r="315" spans="1:29">
      <c r="A315" s="12">
        <v>15</v>
      </c>
      <c r="B315" s="12" t="s">
        <v>216</v>
      </c>
      <c r="C315" s="12">
        <v>15839</v>
      </c>
      <c r="D315" s="12" t="s">
        <v>330</v>
      </c>
      <c r="E315" s="17">
        <v>0.93873085339168494</v>
      </c>
      <c r="F315" s="17">
        <v>6.1269146608315096E-2</v>
      </c>
      <c r="G315" s="13">
        <v>0.83356133150934797</v>
      </c>
      <c r="H315" s="13">
        <v>15.185840707964601</v>
      </c>
      <c r="I315" s="14">
        <v>7.511524648390866</v>
      </c>
      <c r="J315" s="16">
        <v>0.76880000000000004</v>
      </c>
      <c r="K315" s="16">
        <v>0.76880000000000004</v>
      </c>
      <c r="L315" s="13">
        <v>0.44259999999999999</v>
      </c>
      <c r="M315" s="13">
        <v>1.9099999999999999E-2</v>
      </c>
      <c r="N315" s="13">
        <v>5.7299999999999997E-2</v>
      </c>
      <c r="O315" s="13">
        <v>4.7800000000000002E-2</v>
      </c>
      <c r="P315" s="16">
        <v>0.9425</v>
      </c>
      <c r="Q315" s="16">
        <v>0.35369999999999996</v>
      </c>
      <c r="R315" s="16">
        <v>0.20569999999999999</v>
      </c>
      <c r="S315" s="16">
        <f t="shared" si="8"/>
        <v>0.50063333333333337</v>
      </c>
      <c r="T315" s="18">
        <v>0.82784571966133502</v>
      </c>
      <c r="U315" s="1">
        <v>0</v>
      </c>
      <c r="V315" s="1">
        <f t="shared" si="9"/>
        <v>0</v>
      </c>
      <c r="W315" s="25"/>
      <c r="X315">
        <v>2.3699999999999999E-2</v>
      </c>
      <c r="Y315" s="1">
        <v>6.0499999999999998E-2</v>
      </c>
      <c r="Z315" s="1">
        <v>5.8700000000000002E-2</v>
      </c>
      <c r="AA315" s="1">
        <v>2021</v>
      </c>
      <c r="AB315" s="1">
        <v>10</v>
      </c>
      <c r="AC315" s="29">
        <v>344</v>
      </c>
    </row>
    <row r="316" spans="1:29">
      <c r="A316" s="12">
        <v>15</v>
      </c>
      <c r="B316" s="12" t="s">
        <v>216</v>
      </c>
      <c r="C316" s="12">
        <v>15842</v>
      </c>
      <c r="D316" s="12" t="s">
        <v>331</v>
      </c>
      <c r="E316" s="17">
        <v>0.93397819745125132</v>
      </c>
      <c r="F316" s="17">
        <v>6.5868263473053898E-2</v>
      </c>
      <c r="G316" s="13">
        <v>0.8097724729578516</v>
      </c>
      <c r="H316" s="13">
        <v>14.146511627906976</v>
      </c>
      <c r="I316" s="14">
        <v>8.781708985836179</v>
      </c>
      <c r="J316" s="16">
        <v>0.70920000000000005</v>
      </c>
      <c r="K316" s="16">
        <v>0.70920000000000005</v>
      </c>
      <c r="L316" s="13">
        <v>0.60489999999999999</v>
      </c>
      <c r="M316" s="13">
        <v>1.17E-2</v>
      </c>
      <c r="N316" s="13">
        <v>5.21E-2</v>
      </c>
      <c r="O316" s="13">
        <v>3.4099999999999998E-2</v>
      </c>
      <c r="P316" s="16">
        <v>0.80650000000000011</v>
      </c>
      <c r="Q316" s="16">
        <v>0.1192</v>
      </c>
      <c r="R316" s="16">
        <v>0.1192</v>
      </c>
      <c r="S316" s="16">
        <f t="shared" si="8"/>
        <v>0.34830000000000005</v>
      </c>
      <c r="T316" s="18">
        <v>0.89670265538371696</v>
      </c>
      <c r="U316" s="1">
        <v>20.833333329999999</v>
      </c>
      <c r="V316" s="1">
        <f t="shared" si="9"/>
        <v>3.0834378538204246</v>
      </c>
      <c r="W316" s="26"/>
      <c r="X316">
        <v>2.8400000000000002E-2</v>
      </c>
      <c r="Y316" s="1">
        <v>0.1048</v>
      </c>
      <c r="Z316" s="1">
        <v>9.9599999999999994E-2</v>
      </c>
      <c r="AA316" s="1">
        <v>7698</v>
      </c>
      <c r="AB316" s="1">
        <v>48</v>
      </c>
      <c r="AC316" s="29">
        <v>1425</v>
      </c>
    </row>
    <row r="317" spans="1:29">
      <c r="A317" s="12">
        <v>15</v>
      </c>
      <c r="B317" s="12" t="s">
        <v>216</v>
      </c>
      <c r="C317" s="12">
        <v>15861</v>
      </c>
      <c r="D317" s="12" t="s">
        <v>332</v>
      </c>
      <c r="E317" s="17">
        <v>0.84915337595728235</v>
      </c>
      <c r="F317" s="17">
        <v>0.15084662404271762</v>
      </c>
      <c r="G317" s="13">
        <v>0.83664472137314838</v>
      </c>
      <c r="H317" s="13">
        <v>5.6266294227188078</v>
      </c>
      <c r="I317" s="14">
        <v>9.5633887478592161</v>
      </c>
      <c r="J317" s="16">
        <v>0.79620000000000002</v>
      </c>
      <c r="K317" s="16">
        <v>0.79620000000000002</v>
      </c>
      <c r="L317" s="13">
        <v>0.57220000000000004</v>
      </c>
      <c r="M317" s="13">
        <v>2.8299999999999999E-2</v>
      </c>
      <c r="N317" s="13">
        <v>6.2399999999999997E-2</v>
      </c>
      <c r="O317" s="13">
        <v>4.2799999999999998E-2</v>
      </c>
      <c r="P317" s="16">
        <v>1</v>
      </c>
      <c r="Q317" s="16">
        <v>0.15609999999999999</v>
      </c>
      <c r="R317" s="16">
        <v>0.21989999999999998</v>
      </c>
      <c r="S317" s="16">
        <f t="shared" si="8"/>
        <v>0.45866666666666661</v>
      </c>
      <c r="T317" s="18">
        <v>0.97480960749853496</v>
      </c>
      <c r="U317" s="1">
        <v>14.28571429</v>
      </c>
      <c r="V317" s="1">
        <f t="shared" si="9"/>
        <v>2.7269186856869667</v>
      </c>
      <c r="W317" s="25"/>
      <c r="X317">
        <v>5.7099999999999998E-2</v>
      </c>
      <c r="Y317" s="1">
        <v>0.70720000000000005</v>
      </c>
      <c r="Z317" s="1">
        <v>0.53490000000000004</v>
      </c>
      <c r="AA317" s="1">
        <v>16977</v>
      </c>
      <c r="AB317" s="1">
        <v>140</v>
      </c>
      <c r="AC317" s="29">
        <v>3380</v>
      </c>
    </row>
    <row r="318" spans="1:29">
      <c r="A318" s="12">
        <v>15</v>
      </c>
      <c r="B318" s="12" t="s">
        <v>216</v>
      </c>
      <c r="C318" s="12">
        <v>15879</v>
      </c>
      <c r="D318" s="12" t="s">
        <v>334</v>
      </c>
      <c r="E318" s="17">
        <v>0.94694656488549622</v>
      </c>
      <c r="F318" s="17">
        <v>5.3053435114503819E-2</v>
      </c>
      <c r="G318" s="13">
        <v>0.87159015302727882</v>
      </c>
      <c r="H318" s="13">
        <v>17.721428571428572</v>
      </c>
      <c r="I318" s="14">
        <v>7.8713112033234065</v>
      </c>
      <c r="J318" s="16">
        <v>0.55269999999999997</v>
      </c>
      <c r="K318" s="16">
        <v>0.55269999999999997</v>
      </c>
      <c r="L318" s="13">
        <v>0.27</v>
      </c>
      <c r="M318" s="13">
        <v>1.8599999999999998E-2</v>
      </c>
      <c r="N318" s="13">
        <v>6.5000000000000002E-2</v>
      </c>
      <c r="O318" s="13">
        <v>5.57E-2</v>
      </c>
      <c r="P318" s="16">
        <v>0.59670000000000001</v>
      </c>
      <c r="Q318" s="16">
        <v>5.5500000000000001E-2</v>
      </c>
      <c r="R318" s="16">
        <v>5.5500000000000001E-2</v>
      </c>
      <c r="S318" s="16">
        <f t="shared" si="8"/>
        <v>0.2359</v>
      </c>
      <c r="T318" s="18">
        <v>0.75729166666666603</v>
      </c>
      <c r="U318" s="1">
        <v>0</v>
      </c>
      <c r="V318" s="1">
        <f t="shared" si="9"/>
        <v>0</v>
      </c>
      <c r="W318" s="25"/>
      <c r="X318">
        <v>1.5900000000000001E-2</v>
      </c>
      <c r="Y318" s="1">
        <v>0.14369999999999999</v>
      </c>
      <c r="Z318" s="1">
        <v>0.13420000000000001</v>
      </c>
      <c r="AA318" s="1">
        <v>2910</v>
      </c>
      <c r="AB318" s="1">
        <v>14</v>
      </c>
      <c r="AC318" s="29">
        <v>525</v>
      </c>
    </row>
    <row r="319" spans="1:29">
      <c r="A319" s="12">
        <v>15</v>
      </c>
      <c r="B319" s="12" t="s">
        <v>216</v>
      </c>
      <c r="C319" s="12">
        <v>15897</v>
      </c>
      <c r="D319" s="12" t="s">
        <v>335</v>
      </c>
      <c r="E319" s="17">
        <v>0.91981332201951638</v>
      </c>
      <c r="F319" s="17">
        <v>8.0186677980483664E-2</v>
      </c>
      <c r="G319" s="13">
        <v>0.95155429955591442</v>
      </c>
      <c r="H319" s="13">
        <v>11.440633245382585</v>
      </c>
      <c r="I319" s="14">
        <v>8.4585041950675581</v>
      </c>
      <c r="J319" s="16">
        <v>0.85350000000000004</v>
      </c>
      <c r="K319" s="16">
        <v>0.85350000000000004</v>
      </c>
      <c r="L319" s="13">
        <v>0.63819999999999999</v>
      </c>
      <c r="M319" s="13">
        <v>0.01</v>
      </c>
      <c r="N319" s="13">
        <v>6.6199999999999995E-2</v>
      </c>
      <c r="O319" s="13">
        <v>3.2500000000000001E-2</v>
      </c>
      <c r="P319" s="16">
        <v>0.41229999999999994</v>
      </c>
      <c r="Q319" s="16">
        <v>0.29620000000000002</v>
      </c>
      <c r="R319" s="16">
        <v>0.29620000000000002</v>
      </c>
      <c r="S319" s="16">
        <f t="shared" si="8"/>
        <v>0.33489999999999998</v>
      </c>
      <c r="T319" s="18">
        <v>0.94983116256632893</v>
      </c>
      <c r="U319" s="1">
        <v>0</v>
      </c>
      <c r="V319" s="1">
        <f t="shared" si="9"/>
        <v>0</v>
      </c>
      <c r="W319" s="26"/>
      <c r="X319">
        <v>5.0200000000000002E-2</v>
      </c>
      <c r="Y319" s="1">
        <v>5.0599999999999999E-2</v>
      </c>
      <c r="Z319" s="1">
        <v>4.9299999999999997E-2</v>
      </c>
      <c r="AA319" s="1">
        <v>4740</v>
      </c>
      <c r="AB319" s="1">
        <v>31</v>
      </c>
      <c r="AC319" s="29">
        <v>847</v>
      </c>
    </row>
    <row r="320" spans="1:29">
      <c r="A320" s="12">
        <v>17</v>
      </c>
      <c r="B320" s="12" t="s">
        <v>38</v>
      </c>
      <c r="C320" s="12">
        <v>17001</v>
      </c>
      <c r="D320" s="12" t="s">
        <v>344</v>
      </c>
      <c r="E320" s="17">
        <v>0.28282679651131681</v>
      </c>
      <c r="F320" s="17">
        <v>0.71716651506233609</v>
      </c>
      <c r="G320" s="13">
        <v>0.98143196607603134</v>
      </c>
      <c r="H320" s="13">
        <v>0.3943657593354804</v>
      </c>
      <c r="I320" s="14">
        <v>13.013746454291212</v>
      </c>
      <c r="J320" s="16">
        <v>0.73329999999999995</v>
      </c>
      <c r="K320" s="16">
        <v>0.73260000000000003</v>
      </c>
      <c r="L320" s="13">
        <v>0.47139999999999999</v>
      </c>
      <c r="M320" s="13">
        <v>3.0599999999999999E-2</v>
      </c>
      <c r="N320" s="13">
        <v>9.5100000000000004E-2</v>
      </c>
      <c r="O320" s="13">
        <v>8.9499999999999996E-2</v>
      </c>
      <c r="P320" s="16">
        <v>0.96129999999999993</v>
      </c>
      <c r="Q320" s="16">
        <v>0.95989999999999998</v>
      </c>
      <c r="R320" s="16"/>
      <c r="S320" s="16">
        <f t="shared" si="8"/>
        <v>0.64039999999999997</v>
      </c>
      <c r="T320" s="18">
        <v>0.84781235904375196</v>
      </c>
      <c r="U320" s="1">
        <v>10.82543978</v>
      </c>
      <c r="V320" s="1">
        <f t="shared" si="9"/>
        <v>2.4702531243841142</v>
      </c>
      <c r="W320" s="25"/>
      <c r="X320">
        <v>0.2107</v>
      </c>
      <c r="Y320" s="1">
        <v>4.2973999999999997</v>
      </c>
      <c r="Z320" s="1">
        <v>1.6672</v>
      </c>
      <c r="AA320" s="1">
        <v>467681</v>
      </c>
      <c r="AB320" s="1">
        <v>2217</v>
      </c>
      <c r="AC320" s="29">
        <v>65635</v>
      </c>
    </row>
    <row r="321" spans="1:29">
      <c r="A321" s="12">
        <v>17</v>
      </c>
      <c r="B321" s="12" t="s">
        <v>38</v>
      </c>
      <c r="C321" s="12">
        <v>17013</v>
      </c>
      <c r="D321" s="12" t="s">
        <v>336</v>
      </c>
      <c r="E321" s="17">
        <v>0.75022014793941527</v>
      </c>
      <c r="F321" s="17">
        <v>0.2497798520605847</v>
      </c>
      <c r="G321" s="13">
        <v>0.96544102019128586</v>
      </c>
      <c r="H321" s="13">
        <v>3.0029961226647868</v>
      </c>
      <c r="I321" s="14">
        <v>10.030692726771417</v>
      </c>
      <c r="J321" s="16">
        <v>0.79969999999999997</v>
      </c>
      <c r="K321" s="16">
        <v>0.79969999999999997</v>
      </c>
      <c r="L321" s="13">
        <v>0.53410000000000002</v>
      </c>
      <c r="M321" s="13">
        <v>3.2399999999999998E-2</v>
      </c>
      <c r="N321" s="13">
        <v>5.6399999999999999E-2</v>
      </c>
      <c r="O321" s="13">
        <v>2.5499999999999998E-2</v>
      </c>
      <c r="P321" s="16">
        <v>0.40689999999999998</v>
      </c>
      <c r="Q321" s="16">
        <v>0.40689999999999998</v>
      </c>
      <c r="R321" s="16">
        <v>0.40689999999999998</v>
      </c>
      <c r="S321" s="16">
        <f t="shared" si="8"/>
        <v>0.40689999999999998</v>
      </c>
      <c r="T321" s="18">
        <v>1</v>
      </c>
      <c r="U321" s="1">
        <v>0</v>
      </c>
      <c r="V321" s="1">
        <f t="shared" si="9"/>
        <v>0</v>
      </c>
      <c r="W321" s="25"/>
      <c r="X321">
        <v>6.2899999999999998E-2</v>
      </c>
      <c r="Y321" s="1">
        <v>0.1361</v>
      </c>
      <c r="Z321" s="1">
        <v>0.12759999999999999</v>
      </c>
      <c r="AA321" s="1">
        <v>22674</v>
      </c>
      <c r="AB321" s="1">
        <v>140</v>
      </c>
      <c r="AC321" s="29">
        <v>3812</v>
      </c>
    </row>
    <row r="322" spans="1:29">
      <c r="A322" s="12">
        <v>17</v>
      </c>
      <c r="B322" s="12" t="s">
        <v>38</v>
      </c>
      <c r="C322" s="12">
        <v>17042</v>
      </c>
      <c r="D322" s="12" t="s">
        <v>337</v>
      </c>
      <c r="E322" s="17">
        <v>0.78000742157394454</v>
      </c>
      <c r="F322" s="17">
        <v>0.21996403391088401</v>
      </c>
      <c r="G322" s="13">
        <v>0.93239826471136189</v>
      </c>
      <c r="H322" s="13">
        <v>3.5456078889321394</v>
      </c>
      <c r="I322" s="14">
        <v>10.464074297511592</v>
      </c>
      <c r="J322" s="16">
        <v>0.7419</v>
      </c>
      <c r="K322" s="16">
        <v>0.7419</v>
      </c>
      <c r="L322" s="13">
        <v>0.43669999999999998</v>
      </c>
      <c r="M322" s="13">
        <v>3.8100000000000002E-2</v>
      </c>
      <c r="N322" s="13">
        <v>9.6799999999999997E-2</v>
      </c>
      <c r="O322" s="13">
        <v>4.7399999999999998E-2</v>
      </c>
      <c r="P322" s="16">
        <v>0.59009999999999996</v>
      </c>
      <c r="Q322" s="16">
        <v>0.53510000000000002</v>
      </c>
      <c r="R322" s="16">
        <v>0.62670000000000003</v>
      </c>
      <c r="S322" s="16">
        <f t="shared" ref="S322:S385" si="10">+(P322+Q322+R322)/3</f>
        <v>0.58396666666666663</v>
      </c>
      <c r="T322" s="18">
        <v>0.8620470438652249</v>
      </c>
      <c r="U322" s="1">
        <v>21.276595740000001</v>
      </c>
      <c r="V322" s="1">
        <f t="shared" ref="V322:V385" si="11">LN(U322+1)</f>
        <v>3.1035366089503542</v>
      </c>
      <c r="W322" s="26"/>
      <c r="X322">
        <v>5.0900000000000001E-2</v>
      </c>
      <c r="Y322" s="1">
        <v>0.37959999999999999</v>
      </c>
      <c r="Z322" s="1">
        <v>0.32179999999999997</v>
      </c>
      <c r="AA322" s="1">
        <v>37428</v>
      </c>
      <c r="AB322" s="1">
        <v>235</v>
      </c>
      <c r="AC322" s="29">
        <v>6204</v>
      </c>
    </row>
    <row r="323" spans="1:29">
      <c r="A323" s="12">
        <v>17</v>
      </c>
      <c r="B323" s="12" t="s">
        <v>38</v>
      </c>
      <c r="C323" s="12">
        <v>17050</v>
      </c>
      <c r="D323" s="12" t="s">
        <v>338</v>
      </c>
      <c r="E323" s="17">
        <v>0.78516735943994753</v>
      </c>
      <c r="F323" s="17">
        <v>0.2148326405600525</v>
      </c>
      <c r="G323" s="13">
        <v>1</v>
      </c>
      <c r="H323" s="13">
        <v>3.653545978961656</v>
      </c>
      <c r="I323" s="14">
        <v>9.5261724878443097</v>
      </c>
      <c r="J323" s="16">
        <v>0.87939999999999996</v>
      </c>
      <c r="K323" s="16">
        <v>0.87939999999999996</v>
      </c>
      <c r="L323" s="13">
        <v>0.62580000000000002</v>
      </c>
      <c r="M323" s="13">
        <v>3.3000000000000002E-2</v>
      </c>
      <c r="N323" s="13">
        <v>5.5399999999999998E-2</v>
      </c>
      <c r="O323" s="13">
        <v>3.0599999999999999E-2</v>
      </c>
      <c r="P323" s="16">
        <v>0.5806</v>
      </c>
      <c r="Q323" s="16">
        <v>0.41210000000000002</v>
      </c>
      <c r="R323" s="16">
        <v>0.41479999999999995</v>
      </c>
      <c r="S323" s="16">
        <f t="shared" si="10"/>
        <v>0.46916666666666668</v>
      </c>
      <c r="T323" s="18">
        <v>0.87693027608797292</v>
      </c>
      <c r="U323" s="1">
        <v>0</v>
      </c>
      <c r="V323" s="1">
        <f t="shared" si="11"/>
        <v>0</v>
      </c>
      <c r="W323" s="25"/>
      <c r="X323">
        <v>6.3799999999999996E-2</v>
      </c>
      <c r="Y323" s="1">
        <v>0.1368</v>
      </c>
      <c r="Z323" s="1">
        <v>0.1283</v>
      </c>
      <c r="AA323" s="1">
        <v>10820</v>
      </c>
      <c r="AB323" s="1">
        <v>81</v>
      </c>
      <c r="AC323" s="29">
        <v>1949</v>
      </c>
    </row>
    <row r="324" spans="1:29">
      <c r="A324" s="12">
        <v>17</v>
      </c>
      <c r="B324" s="12" t="s">
        <v>38</v>
      </c>
      <c r="C324" s="12">
        <v>17088</v>
      </c>
      <c r="D324" s="12" t="s">
        <v>339</v>
      </c>
      <c r="E324" s="17">
        <v>0.81242103217027895</v>
      </c>
      <c r="F324" s="17">
        <v>0.18757896782972105</v>
      </c>
      <c r="G324" s="13">
        <v>0.93963470319634701</v>
      </c>
      <c r="H324" s="13">
        <v>4.3288451579492495</v>
      </c>
      <c r="I324" s="14">
        <v>9.2389278288280945</v>
      </c>
      <c r="J324" s="16">
        <v>0.80010000000000003</v>
      </c>
      <c r="K324" s="16">
        <v>0.80010000000000003</v>
      </c>
      <c r="L324" s="13">
        <v>0.39939999999999998</v>
      </c>
      <c r="M324" s="13">
        <v>5.0799999999999998E-2</v>
      </c>
      <c r="N324" s="13">
        <v>0.1004</v>
      </c>
      <c r="O324" s="13">
        <v>4.8399999999999999E-2</v>
      </c>
      <c r="P324" s="16">
        <v>0.97060000000000002</v>
      </c>
      <c r="Q324" s="16">
        <v>0.33640000000000003</v>
      </c>
      <c r="R324" s="16">
        <v>0.35389999999999999</v>
      </c>
      <c r="S324" s="16">
        <f t="shared" si="10"/>
        <v>0.55363333333333331</v>
      </c>
      <c r="T324" s="18">
        <v>0.96157283288650508</v>
      </c>
      <c r="U324" s="1">
        <v>12.195121950000001</v>
      </c>
      <c r="V324" s="1">
        <f t="shared" si="11"/>
        <v>2.5798472120497524</v>
      </c>
      <c r="W324" s="26"/>
      <c r="X324">
        <v>5.8099999999999999E-2</v>
      </c>
      <c r="Y324" s="1">
        <v>0.27250000000000002</v>
      </c>
      <c r="Z324" s="1">
        <v>0.2409</v>
      </c>
      <c r="AA324" s="1">
        <v>10467</v>
      </c>
      <c r="AB324" s="1">
        <v>82</v>
      </c>
      <c r="AC324" s="29">
        <v>2003</v>
      </c>
    </row>
    <row r="325" spans="1:29">
      <c r="A325" s="12">
        <v>17</v>
      </c>
      <c r="B325" s="12" t="s">
        <v>38</v>
      </c>
      <c r="C325" s="12">
        <v>17174</v>
      </c>
      <c r="D325" s="12" t="s">
        <v>340</v>
      </c>
      <c r="E325" s="17">
        <v>0.56779214795800836</v>
      </c>
      <c r="F325" s="17">
        <v>0.43220785204199164</v>
      </c>
      <c r="G325" s="13">
        <v>1</v>
      </c>
      <c r="H325" s="13">
        <v>1.3136515912897822</v>
      </c>
      <c r="I325" s="14">
        <v>11.014933799184323</v>
      </c>
      <c r="J325" s="16">
        <v>0.85040000000000004</v>
      </c>
      <c r="K325" s="16">
        <v>0.85009999999999997</v>
      </c>
      <c r="L325" s="13">
        <v>0.51580000000000004</v>
      </c>
      <c r="M325" s="13">
        <v>5.5300000000000002E-2</v>
      </c>
      <c r="N325" s="13">
        <v>9.9500000000000005E-2</v>
      </c>
      <c r="O325" s="13">
        <v>6.5799999999999997E-2</v>
      </c>
      <c r="P325" s="16">
        <v>0.98180000000000012</v>
      </c>
      <c r="Q325" s="16">
        <v>0.95790000000000008</v>
      </c>
      <c r="R325" s="16">
        <v>0.97420000000000007</v>
      </c>
      <c r="S325" s="16">
        <f t="shared" si="10"/>
        <v>0.97130000000000016</v>
      </c>
      <c r="T325" s="18">
        <v>1</v>
      </c>
      <c r="U325" s="1">
        <v>3.4013605440000001</v>
      </c>
      <c r="V325" s="1">
        <f t="shared" si="11"/>
        <v>1.4819137076727051</v>
      </c>
      <c r="W325" s="25"/>
      <c r="X325">
        <v>0.16919999999999999</v>
      </c>
      <c r="Y325" s="1">
        <v>1.6166</v>
      </c>
      <c r="Z325" s="1">
        <v>0.96189999999999998</v>
      </c>
      <c r="AA325" s="1">
        <v>51007</v>
      </c>
      <c r="AB325" s="1">
        <v>294</v>
      </c>
      <c r="AC325" s="29">
        <v>8113</v>
      </c>
    </row>
    <row r="326" spans="1:29">
      <c r="A326" s="12">
        <v>17</v>
      </c>
      <c r="B326" s="12" t="s">
        <v>38</v>
      </c>
      <c r="C326" s="12">
        <v>17272</v>
      </c>
      <c r="D326" s="12" t="s">
        <v>341</v>
      </c>
      <c r="E326" s="17">
        <v>0.83528372709207332</v>
      </c>
      <c r="F326" s="17">
        <v>0.1647162729079267</v>
      </c>
      <c r="G326" s="13">
        <v>0.77174746528073612</v>
      </c>
      <c r="H326" s="13">
        <v>5.067649028801072</v>
      </c>
      <c r="I326" s="14">
        <v>9.1115140176692879</v>
      </c>
      <c r="J326" s="16">
        <v>0.57679999999999998</v>
      </c>
      <c r="K326" s="16">
        <v>0.57679999999999998</v>
      </c>
      <c r="L326" s="13">
        <v>0.33329999999999999</v>
      </c>
      <c r="M326" s="13">
        <v>4.6399999999999997E-2</v>
      </c>
      <c r="N326" s="13">
        <v>0.112</v>
      </c>
      <c r="O326" s="13">
        <v>6.5600000000000006E-2</v>
      </c>
      <c r="P326" s="16">
        <v>0.37</v>
      </c>
      <c r="Q326" s="16">
        <v>0.37</v>
      </c>
      <c r="R326" s="16">
        <v>0.42700000000000005</v>
      </c>
      <c r="S326" s="16">
        <f t="shared" si="10"/>
        <v>0.38900000000000001</v>
      </c>
      <c r="T326" s="18">
        <v>0.79307056579783808</v>
      </c>
      <c r="U326" s="1">
        <v>0</v>
      </c>
      <c r="V326" s="1">
        <f t="shared" si="11"/>
        <v>0</v>
      </c>
      <c r="W326" s="26"/>
      <c r="X326">
        <v>3.6400000000000002E-2</v>
      </c>
      <c r="Y326" s="1">
        <v>0.1203</v>
      </c>
      <c r="Z326" s="1">
        <v>0.11360000000000001</v>
      </c>
      <c r="AA326" s="1">
        <v>11182</v>
      </c>
      <c r="AB326" s="1">
        <v>29</v>
      </c>
      <c r="AC326" s="29">
        <v>1864</v>
      </c>
    </row>
    <row r="327" spans="1:29">
      <c r="A327" s="12">
        <v>17</v>
      </c>
      <c r="B327" s="12" t="s">
        <v>38</v>
      </c>
      <c r="C327" s="12">
        <v>17380</v>
      </c>
      <c r="D327" s="12" t="s">
        <v>342</v>
      </c>
      <c r="E327" s="17">
        <v>0.64063422775709333</v>
      </c>
      <c r="F327" s="17">
        <v>0.35936577224290667</v>
      </c>
      <c r="G327" s="13">
        <v>1</v>
      </c>
      <c r="H327" s="13">
        <v>1.7826164618462417</v>
      </c>
      <c r="I327" s="14">
        <v>11.263065692450144</v>
      </c>
      <c r="J327" s="16">
        <v>0.77949999999999997</v>
      </c>
      <c r="K327" s="16">
        <v>0.77929999999999999</v>
      </c>
      <c r="L327" s="13">
        <v>0.45390000000000003</v>
      </c>
      <c r="M327" s="13">
        <v>4.41E-2</v>
      </c>
      <c r="N327" s="13">
        <v>0.1012</v>
      </c>
      <c r="O327" s="13">
        <v>9.0999999999999998E-2</v>
      </c>
      <c r="P327" s="16">
        <v>0.84470000000000001</v>
      </c>
      <c r="Q327" s="16">
        <v>0.84660000000000002</v>
      </c>
      <c r="R327" s="16">
        <v>0.64659999999999995</v>
      </c>
      <c r="S327" s="16">
        <f t="shared" si="10"/>
        <v>0.77929999999999999</v>
      </c>
      <c r="T327" s="18">
        <v>0.78107606679035202</v>
      </c>
      <c r="U327" s="1">
        <v>14.925373130000001</v>
      </c>
      <c r="V327" s="1">
        <f t="shared" si="11"/>
        <v>2.7679136316389972</v>
      </c>
      <c r="W327" s="25"/>
      <c r="X327">
        <v>0.13070000000000001</v>
      </c>
      <c r="Y327" s="1">
        <v>0.30559999999999998</v>
      </c>
      <c r="Z327" s="1">
        <v>0.26669999999999999</v>
      </c>
      <c r="AA327" s="1">
        <v>72044</v>
      </c>
      <c r="AB327" s="1">
        <v>536</v>
      </c>
      <c r="AC327" s="29">
        <v>12995</v>
      </c>
    </row>
    <row r="328" spans="1:29">
      <c r="A328" s="12">
        <v>17</v>
      </c>
      <c r="B328" s="12" t="s">
        <v>38</v>
      </c>
      <c r="C328" s="12">
        <v>17388</v>
      </c>
      <c r="D328" s="12" t="s">
        <v>343</v>
      </c>
      <c r="E328" s="17">
        <v>0.81554145027889979</v>
      </c>
      <c r="F328" s="17">
        <v>0.18445854972110021</v>
      </c>
      <c r="G328" s="13">
        <v>0.82615604640076279</v>
      </c>
      <c r="H328" s="13">
        <v>4.416666666666667</v>
      </c>
      <c r="I328" s="14">
        <v>8.5564139045695189</v>
      </c>
      <c r="J328" s="16">
        <v>0.80130000000000001</v>
      </c>
      <c r="K328" s="16">
        <v>0.80130000000000001</v>
      </c>
      <c r="L328" s="13">
        <v>0.48449999999999999</v>
      </c>
      <c r="M328" s="13">
        <v>3.9100000000000003E-2</v>
      </c>
      <c r="N328" s="13">
        <v>6.4299999999999996E-2</v>
      </c>
      <c r="O328" s="13">
        <v>9.4600000000000004E-2</v>
      </c>
      <c r="P328" s="16">
        <v>0.27789999999999998</v>
      </c>
      <c r="Q328" s="16">
        <v>0.19670000000000001</v>
      </c>
      <c r="R328" s="16">
        <v>0.4592</v>
      </c>
      <c r="S328" s="16">
        <f t="shared" si="10"/>
        <v>0.31126666666666664</v>
      </c>
      <c r="T328" s="18">
        <v>0.76915472071181401</v>
      </c>
      <c r="U328" s="1">
        <v>0</v>
      </c>
      <c r="V328" s="1">
        <f t="shared" si="11"/>
        <v>0</v>
      </c>
      <c r="W328" s="26"/>
      <c r="X328">
        <v>3.39E-2</v>
      </c>
      <c r="Y328" s="1">
        <v>0.2853</v>
      </c>
      <c r="Z328" s="1">
        <v>0.251</v>
      </c>
      <c r="AA328" s="1">
        <v>5844</v>
      </c>
      <c r="AB328" s="1">
        <v>36</v>
      </c>
      <c r="AC328" s="29">
        <v>908</v>
      </c>
    </row>
    <row r="329" spans="1:29">
      <c r="A329" s="12">
        <v>17</v>
      </c>
      <c r="B329" s="12" t="s">
        <v>38</v>
      </c>
      <c r="C329" s="12">
        <v>17433</v>
      </c>
      <c r="D329" s="12" t="s">
        <v>345</v>
      </c>
      <c r="E329" s="17">
        <v>0.84537439890084731</v>
      </c>
      <c r="F329" s="17">
        <v>0.15462560109915274</v>
      </c>
      <c r="G329" s="13">
        <v>0.92969290542338601</v>
      </c>
      <c r="H329" s="13">
        <v>5.4652109548482608</v>
      </c>
      <c r="I329" s="14">
        <v>9.7681831605052292</v>
      </c>
      <c r="J329" s="16">
        <v>0.72960000000000003</v>
      </c>
      <c r="K329" s="16">
        <v>0.72960000000000003</v>
      </c>
      <c r="L329" s="13">
        <v>0.5212</v>
      </c>
      <c r="M329" s="13">
        <v>2.2700000000000001E-2</v>
      </c>
      <c r="N329" s="13">
        <v>7.1400000000000005E-2</v>
      </c>
      <c r="O329" s="13">
        <v>3.6499999999999998E-2</v>
      </c>
      <c r="P329" s="16">
        <v>0.41070000000000001</v>
      </c>
      <c r="Q329" s="16">
        <v>0.31379999999999997</v>
      </c>
      <c r="R329" s="16">
        <v>0.51790000000000003</v>
      </c>
      <c r="S329" s="16">
        <f t="shared" si="10"/>
        <v>0.4141333333333333</v>
      </c>
      <c r="T329" s="18">
        <v>0.82401711687616996</v>
      </c>
      <c r="U329" s="1">
        <v>13.513513509999999</v>
      </c>
      <c r="V329" s="1">
        <f t="shared" si="11"/>
        <v>2.6750801816225547</v>
      </c>
      <c r="W329" s="26"/>
      <c r="X329">
        <v>6.5199999999999994E-2</v>
      </c>
      <c r="Y329" s="1">
        <v>0.1242</v>
      </c>
      <c r="Z329" s="1">
        <v>0.1171</v>
      </c>
      <c r="AA329" s="1">
        <v>18375</v>
      </c>
      <c r="AB329" s="1">
        <v>148</v>
      </c>
      <c r="AC329" s="29">
        <v>3231</v>
      </c>
    </row>
    <row r="330" spans="1:29">
      <c r="A330" s="12">
        <v>17</v>
      </c>
      <c r="B330" s="12" t="s">
        <v>38</v>
      </c>
      <c r="C330" s="12">
        <v>17442</v>
      </c>
      <c r="D330" s="12" t="s">
        <v>346</v>
      </c>
      <c r="E330" s="17">
        <v>0.65318424890617399</v>
      </c>
      <c r="F330" s="17">
        <v>0.34681575109382595</v>
      </c>
      <c r="G330" s="13">
        <v>1</v>
      </c>
      <c r="H330" s="13">
        <v>1.882847533632287</v>
      </c>
      <c r="I330" s="14">
        <v>9.2385390263348608</v>
      </c>
      <c r="J330" s="16">
        <v>1.0277000000000001</v>
      </c>
      <c r="K330" s="16">
        <v>1.0277000000000001</v>
      </c>
      <c r="L330" s="13">
        <v>0.43020000000000003</v>
      </c>
      <c r="M330" s="13">
        <v>3.0499999999999999E-2</v>
      </c>
      <c r="N330" s="13">
        <v>8.4699999999999998E-2</v>
      </c>
      <c r="O330" s="13">
        <v>3.95E-2</v>
      </c>
      <c r="P330" s="16">
        <v>0.93730000000000002</v>
      </c>
      <c r="Q330" s="16">
        <v>0.31769999999999998</v>
      </c>
      <c r="R330" s="16">
        <v>0.49709999999999999</v>
      </c>
      <c r="S330" s="16">
        <f t="shared" si="10"/>
        <v>0.58403333333333329</v>
      </c>
      <c r="T330" s="18">
        <v>1</v>
      </c>
      <c r="U330" s="1">
        <v>10.30927835</v>
      </c>
      <c r="V330" s="1">
        <f t="shared" si="11"/>
        <v>2.4256234817262685</v>
      </c>
      <c r="W330" s="25"/>
      <c r="X330">
        <v>0.2044</v>
      </c>
      <c r="Y330" s="1">
        <v>1.3007</v>
      </c>
      <c r="Z330" s="1">
        <v>0.83320000000000005</v>
      </c>
      <c r="AA330" s="1">
        <v>9394</v>
      </c>
      <c r="AB330" s="1">
        <v>97</v>
      </c>
      <c r="AC330" s="29">
        <v>1840</v>
      </c>
    </row>
    <row r="331" spans="1:29">
      <c r="A331" s="12">
        <v>17</v>
      </c>
      <c r="B331" s="12" t="s">
        <v>38</v>
      </c>
      <c r="C331" s="12">
        <v>17444</v>
      </c>
      <c r="D331" s="12" t="s">
        <v>347</v>
      </c>
      <c r="E331" s="17">
        <v>0.87956649680614374</v>
      </c>
      <c r="F331" s="17">
        <v>0.12036173114189334</v>
      </c>
      <c r="G331" s="13">
        <v>1</v>
      </c>
      <c r="H331" s="13">
        <v>7.3033373063170437</v>
      </c>
      <c r="I331" s="14">
        <v>9.5420871755900638</v>
      </c>
      <c r="J331" s="16">
        <v>0.86219999999999997</v>
      </c>
      <c r="K331" s="16">
        <v>0.86219999999999997</v>
      </c>
      <c r="L331" s="13">
        <v>0.6744</v>
      </c>
      <c r="M331" s="13">
        <v>3.3700000000000001E-2</v>
      </c>
      <c r="N331" s="13">
        <v>7.4800000000000005E-2</v>
      </c>
      <c r="O331" s="13">
        <v>4.3700000000000003E-2</v>
      </c>
      <c r="P331" s="16">
        <v>0.91110000000000002</v>
      </c>
      <c r="Q331" s="16">
        <v>0.35470000000000002</v>
      </c>
      <c r="R331" s="16">
        <v>0.8659</v>
      </c>
      <c r="S331" s="16">
        <f t="shared" si="10"/>
        <v>0.71056666666666668</v>
      </c>
      <c r="T331" s="18">
        <v>1</v>
      </c>
      <c r="U331" s="1">
        <v>23.25581395</v>
      </c>
      <c r="V331" s="1">
        <f t="shared" si="11"/>
        <v>3.1886563391633942</v>
      </c>
      <c r="W331" s="26"/>
      <c r="X331">
        <v>3.6600000000000001E-2</v>
      </c>
      <c r="Y331" s="1">
        <v>0.14449999999999999</v>
      </c>
      <c r="Z331" s="1">
        <v>0.13500000000000001</v>
      </c>
      <c r="AA331" s="1">
        <v>13619</v>
      </c>
      <c r="AB331" s="1">
        <v>86</v>
      </c>
      <c r="AC331" s="29">
        <v>2537</v>
      </c>
    </row>
    <row r="332" spans="1:29">
      <c r="A332" s="12">
        <v>17</v>
      </c>
      <c r="B332" s="12" t="s">
        <v>38</v>
      </c>
      <c r="C332" s="12">
        <v>17446</v>
      </c>
      <c r="D332" s="12" t="s">
        <v>348</v>
      </c>
      <c r="E332" s="17">
        <v>0.78877259752616558</v>
      </c>
      <c r="F332" s="17">
        <v>0.21122740247383445</v>
      </c>
      <c r="G332" s="13">
        <v>0.77109317681584744</v>
      </c>
      <c r="H332" s="13">
        <v>3.7258426966292135</v>
      </c>
      <c r="I332" s="14">
        <v>7.6511201757027001</v>
      </c>
      <c r="J332" s="16">
        <v>0.62360000000000004</v>
      </c>
      <c r="K332" s="16">
        <v>0.62360000000000004</v>
      </c>
      <c r="L332" s="13">
        <v>0.4</v>
      </c>
      <c r="M332" s="13">
        <v>2.9700000000000001E-2</v>
      </c>
      <c r="N332" s="13">
        <v>3.6299999999999999E-2</v>
      </c>
      <c r="O332" s="13">
        <v>1.9800000000000002E-2</v>
      </c>
      <c r="P332" s="16">
        <v>0.43380000000000002</v>
      </c>
      <c r="Q332" s="16">
        <v>0.4355</v>
      </c>
      <c r="R332" s="16">
        <v>0.41229999999999994</v>
      </c>
      <c r="S332" s="16">
        <f t="shared" si="10"/>
        <v>0.42719999999999997</v>
      </c>
      <c r="T332" s="18">
        <v>1</v>
      </c>
      <c r="U332" s="1">
        <v>0</v>
      </c>
      <c r="V332" s="1">
        <f t="shared" si="11"/>
        <v>0</v>
      </c>
      <c r="W332" s="25"/>
      <c r="X332">
        <v>4.1599999999999998E-2</v>
      </c>
      <c r="Y332" s="1">
        <v>2.86E-2</v>
      </c>
      <c r="Z332" s="1">
        <v>2.8199999999999999E-2</v>
      </c>
      <c r="AA332" s="1">
        <v>2685</v>
      </c>
      <c r="AB332" s="1">
        <v>18</v>
      </c>
      <c r="AC332" s="29">
        <v>454</v>
      </c>
    </row>
    <row r="333" spans="1:29">
      <c r="A333" s="12">
        <v>17</v>
      </c>
      <c r="B333" s="12" t="s">
        <v>38</v>
      </c>
      <c r="C333" s="12">
        <v>17486</v>
      </c>
      <c r="D333" s="12" t="s">
        <v>349</v>
      </c>
      <c r="E333" s="17">
        <v>0.71795803905276279</v>
      </c>
      <c r="F333" s="17">
        <v>0.28204196094723721</v>
      </c>
      <c r="G333" s="13">
        <v>0.8896691923858806</v>
      </c>
      <c r="H333" s="13">
        <v>2.545103092783505</v>
      </c>
      <c r="I333" s="14">
        <v>9.8656299099798872</v>
      </c>
      <c r="J333" s="16">
        <v>0.83130000000000004</v>
      </c>
      <c r="K333" s="16">
        <v>0.83130000000000004</v>
      </c>
      <c r="L333" s="13">
        <v>0.52300000000000002</v>
      </c>
      <c r="M333" s="13">
        <v>3.7999999999999999E-2</v>
      </c>
      <c r="N333" s="13">
        <v>8.0699999999999994E-2</v>
      </c>
      <c r="O333" s="13">
        <v>1.61E-2</v>
      </c>
      <c r="P333" s="16">
        <v>0.9998999999999999</v>
      </c>
      <c r="Q333" s="16">
        <v>0.58169999999999999</v>
      </c>
      <c r="R333" s="16">
        <v>0.44500000000000001</v>
      </c>
      <c r="S333" s="16">
        <f t="shared" si="10"/>
        <v>0.67553333333333321</v>
      </c>
      <c r="T333" s="18">
        <v>0.78332700341815398</v>
      </c>
      <c r="U333" s="1">
        <v>0</v>
      </c>
      <c r="V333" s="1">
        <f t="shared" si="11"/>
        <v>0</v>
      </c>
      <c r="W333" s="26"/>
      <c r="X333">
        <v>9.0999999999999998E-2</v>
      </c>
      <c r="Y333" s="1">
        <v>0.16880000000000001</v>
      </c>
      <c r="Z333" s="1">
        <v>0.156</v>
      </c>
      <c r="AA333" s="1">
        <v>21568</v>
      </c>
      <c r="AB333" s="1">
        <v>127</v>
      </c>
      <c r="AC333" s="29">
        <v>3746</v>
      </c>
    </row>
    <row r="334" spans="1:29">
      <c r="A334" s="12">
        <v>17</v>
      </c>
      <c r="B334" s="12" t="s">
        <v>38</v>
      </c>
      <c r="C334" s="12">
        <v>17495</v>
      </c>
      <c r="D334" s="12" t="s">
        <v>350</v>
      </c>
      <c r="E334" s="17">
        <v>0.80153360396932793</v>
      </c>
      <c r="F334" s="17">
        <v>0.19846639603067209</v>
      </c>
      <c r="G334" s="13">
        <v>1</v>
      </c>
      <c r="H334" s="13">
        <v>4.0355791067373206</v>
      </c>
      <c r="I334" s="14">
        <v>8.8026728403128178</v>
      </c>
      <c r="J334" s="16">
        <v>0.88980000000000004</v>
      </c>
      <c r="K334" s="16">
        <v>0.88980000000000004</v>
      </c>
      <c r="L334" s="13">
        <v>0.65690000000000004</v>
      </c>
      <c r="M334" s="13">
        <v>2.3699999999999999E-2</v>
      </c>
      <c r="N334" s="13">
        <v>7.3800000000000004E-2</v>
      </c>
      <c r="O334" s="13">
        <v>7.2900000000000006E-2</v>
      </c>
      <c r="P334" s="16">
        <v>0.8266</v>
      </c>
      <c r="Q334" s="16">
        <v>0.56509999999999994</v>
      </c>
      <c r="R334" s="16">
        <v>0.64439999999999997</v>
      </c>
      <c r="S334" s="16">
        <f t="shared" si="10"/>
        <v>0.67869999999999997</v>
      </c>
      <c r="T334" s="18">
        <v>1</v>
      </c>
      <c r="U334" s="1">
        <v>14.925373130000001</v>
      </c>
      <c r="V334" s="1">
        <f t="shared" si="11"/>
        <v>2.7679136316389972</v>
      </c>
      <c r="W334" s="25"/>
      <c r="X334">
        <v>0.14480000000000001</v>
      </c>
      <c r="Y334" s="1">
        <v>8.4199999999999997E-2</v>
      </c>
      <c r="Z334" s="1">
        <v>8.0799999999999997E-2</v>
      </c>
      <c r="AA334" s="1">
        <v>6171</v>
      </c>
      <c r="AB334" s="1">
        <v>67</v>
      </c>
      <c r="AC334" s="29">
        <v>1278</v>
      </c>
    </row>
    <row r="335" spans="1:29">
      <c r="A335" s="12">
        <v>17</v>
      </c>
      <c r="B335" s="12" t="s">
        <v>38</v>
      </c>
      <c r="C335" s="12">
        <v>17513</v>
      </c>
      <c r="D335" s="12" t="s">
        <v>351</v>
      </c>
      <c r="E335" s="17">
        <v>0.76011016089288308</v>
      </c>
      <c r="F335" s="17">
        <v>0.23988983910711698</v>
      </c>
      <c r="G335" s="13">
        <v>0.87378886707618264</v>
      </c>
      <c r="H335" s="13">
        <v>3.1676230745998186</v>
      </c>
      <c r="I335" s="14">
        <v>9.5323514047515552</v>
      </c>
      <c r="J335" s="16">
        <v>0.76780000000000004</v>
      </c>
      <c r="K335" s="16">
        <v>0.76780000000000004</v>
      </c>
      <c r="L335" s="13">
        <v>0.49330000000000002</v>
      </c>
      <c r="M335" s="13">
        <v>3.8899999999999997E-2</v>
      </c>
      <c r="N335" s="13">
        <v>7.0000000000000007E-2</v>
      </c>
      <c r="O335" s="13">
        <v>2.6700000000000002E-2</v>
      </c>
      <c r="P335" s="16">
        <v>0.64579999999999993</v>
      </c>
      <c r="Q335" s="16">
        <v>0.50219999999999998</v>
      </c>
      <c r="R335" s="16">
        <v>0.51259999999999994</v>
      </c>
      <c r="S335" s="16">
        <f t="shared" si="10"/>
        <v>0.55353333333333332</v>
      </c>
      <c r="T335" s="18">
        <v>0.97880835380835296</v>
      </c>
      <c r="U335" s="1">
        <v>0</v>
      </c>
      <c r="V335" s="1">
        <f t="shared" si="11"/>
        <v>0</v>
      </c>
      <c r="W335" s="26"/>
      <c r="X335">
        <v>4.2500000000000003E-2</v>
      </c>
      <c r="Y335" s="1">
        <v>0.1608</v>
      </c>
      <c r="Z335" s="1">
        <v>0.14910000000000001</v>
      </c>
      <c r="AA335" s="1">
        <v>15748</v>
      </c>
      <c r="AB335" s="1">
        <v>78</v>
      </c>
      <c r="AC335" s="29">
        <v>2329</v>
      </c>
    </row>
    <row r="336" spans="1:29">
      <c r="A336" s="12">
        <v>17</v>
      </c>
      <c r="B336" s="12" t="s">
        <v>38</v>
      </c>
      <c r="C336" s="12">
        <v>17524</v>
      </c>
      <c r="D336" s="12" t="s">
        <v>352</v>
      </c>
      <c r="E336" s="17">
        <v>0.76062537947783848</v>
      </c>
      <c r="F336" s="17">
        <v>0.23937462052216152</v>
      </c>
      <c r="G336" s="13">
        <v>0.82032125513634668</v>
      </c>
      <c r="H336" s="13">
        <v>3.1765451664025357</v>
      </c>
      <c r="I336" s="14">
        <v>9.4862281645452526</v>
      </c>
      <c r="J336" s="16">
        <v>0.877</v>
      </c>
      <c r="K336" s="16">
        <v>0.877</v>
      </c>
      <c r="L336" s="13">
        <v>0.51080000000000003</v>
      </c>
      <c r="M336" s="13">
        <v>3.8699999999999998E-2</v>
      </c>
      <c r="N336" s="13">
        <v>9.9299999999999999E-2</v>
      </c>
      <c r="O336" s="13">
        <v>7.3800000000000004E-2</v>
      </c>
      <c r="P336" s="16">
        <v>0.82440000000000002</v>
      </c>
      <c r="Q336" s="16">
        <v>0.43790000000000001</v>
      </c>
      <c r="R336" s="16">
        <v>0.82569999999999988</v>
      </c>
      <c r="S336" s="16">
        <f t="shared" si="10"/>
        <v>0.69600000000000006</v>
      </c>
      <c r="T336" s="18">
        <v>0.937425506555423</v>
      </c>
      <c r="U336" s="1">
        <v>0</v>
      </c>
      <c r="V336" s="1">
        <f t="shared" si="11"/>
        <v>0</v>
      </c>
      <c r="W336" s="25"/>
      <c r="X336">
        <v>3.8399999999999997E-2</v>
      </c>
      <c r="Y336" s="1">
        <v>0.83689999999999998</v>
      </c>
      <c r="Z336" s="1">
        <v>0.60809999999999997</v>
      </c>
      <c r="AA336" s="1">
        <v>16059</v>
      </c>
      <c r="AB336" s="1">
        <v>119</v>
      </c>
      <c r="AC336" s="29">
        <v>2749</v>
      </c>
    </row>
    <row r="337" spans="1:29">
      <c r="A337" s="12">
        <v>17</v>
      </c>
      <c r="B337" s="12" t="s">
        <v>38</v>
      </c>
      <c r="C337" s="12">
        <v>17541</v>
      </c>
      <c r="D337" s="12" t="s">
        <v>353</v>
      </c>
      <c r="E337" s="17">
        <v>0.81568458472476568</v>
      </c>
      <c r="F337" s="17">
        <v>0.18431541527523429</v>
      </c>
      <c r="G337" s="13">
        <v>0.91318675913629432</v>
      </c>
      <c r="H337" s="13">
        <v>4.4241893076248902</v>
      </c>
      <c r="I337" s="14">
        <v>9.8291410904074716</v>
      </c>
      <c r="J337" s="16">
        <v>0.77259999999999995</v>
      </c>
      <c r="K337" s="16">
        <v>0.77259999999999995</v>
      </c>
      <c r="L337" s="13">
        <v>0.54710000000000003</v>
      </c>
      <c r="M337" s="13">
        <v>3.5499999999999997E-2</v>
      </c>
      <c r="N337" s="13">
        <v>5.2299999999999999E-2</v>
      </c>
      <c r="O337" s="13">
        <v>4.2000000000000003E-2</v>
      </c>
      <c r="P337" s="16">
        <v>0.38140000000000002</v>
      </c>
      <c r="Q337" s="16">
        <v>0.26629999999999998</v>
      </c>
      <c r="R337" s="16">
        <v>0.2979</v>
      </c>
      <c r="S337" s="16">
        <f t="shared" si="10"/>
        <v>0.31519999999999998</v>
      </c>
      <c r="T337" s="18">
        <v>0.77254069355980104</v>
      </c>
      <c r="U337" s="1">
        <v>8.9285714289999998</v>
      </c>
      <c r="V337" s="1">
        <f t="shared" si="11"/>
        <v>2.2954166035585986</v>
      </c>
      <c r="W337" s="26"/>
      <c r="X337">
        <v>5.6399999999999999E-2</v>
      </c>
      <c r="Y337" s="1">
        <v>5.6399999999999999E-2</v>
      </c>
      <c r="Z337" s="1">
        <v>5.4800000000000001E-2</v>
      </c>
      <c r="AA337" s="1">
        <v>20493</v>
      </c>
      <c r="AB337" s="1">
        <v>112</v>
      </c>
      <c r="AC337" s="29">
        <v>3680</v>
      </c>
    </row>
    <row r="338" spans="1:29">
      <c r="A338" s="12">
        <v>17</v>
      </c>
      <c r="B338" s="12" t="s">
        <v>38</v>
      </c>
      <c r="C338" s="12">
        <v>17614</v>
      </c>
      <c r="D338" s="12" t="s">
        <v>354</v>
      </c>
      <c r="E338" s="17">
        <v>0.80357044160725144</v>
      </c>
      <c r="F338" s="17">
        <v>0.19641113506144181</v>
      </c>
      <c r="G338" s="13">
        <v>1.0037168534339287</v>
      </c>
      <c r="H338" s="13">
        <v>4.0908835115362967</v>
      </c>
      <c r="I338" s="14">
        <v>10.901911113948806</v>
      </c>
      <c r="J338" s="16">
        <v>0.86750000000000005</v>
      </c>
      <c r="K338" s="16">
        <v>0.86750000000000005</v>
      </c>
      <c r="L338" s="13">
        <v>0.69550000000000001</v>
      </c>
      <c r="M338" s="13">
        <v>2.0400000000000001E-2</v>
      </c>
      <c r="N338" s="13">
        <v>4.9799999999999997E-2</v>
      </c>
      <c r="O338" s="13">
        <v>4.8899999999999999E-2</v>
      </c>
      <c r="P338" s="16">
        <v>0.9998999999999999</v>
      </c>
      <c r="Q338" s="16">
        <v>0.63290000000000002</v>
      </c>
      <c r="R338" s="16">
        <v>0.97199999999999998</v>
      </c>
      <c r="S338" s="16">
        <f t="shared" si="10"/>
        <v>0.86826666666666663</v>
      </c>
      <c r="T338" s="18">
        <v>1</v>
      </c>
      <c r="U338" s="1">
        <v>13.774104680000001</v>
      </c>
      <c r="V338" s="1">
        <f t="shared" si="11"/>
        <v>2.6928759645017775</v>
      </c>
      <c r="W338" s="25"/>
      <c r="X338">
        <v>4.3499999999999997E-2</v>
      </c>
      <c r="Y338" s="1">
        <v>0.22059999999999999</v>
      </c>
      <c r="Z338" s="1">
        <v>0.1993</v>
      </c>
      <c r="AA338" s="1">
        <v>52440</v>
      </c>
      <c r="AB338" s="1">
        <v>363</v>
      </c>
      <c r="AC338" s="29">
        <v>9062</v>
      </c>
    </row>
    <row r="339" spans="1:29">
      <c r="A339" s="12">
        <v>17</v>
      </c>
      <c r="B339" s="12" t="s">
        <v>38</v>
      </c>
      <c r="C339" s="12">
        <v>17616</v>
      </c>
      <c r="D339" s="12" t="s">
        <v>355</v>
      </c>
      <c r="E339" s="17">
        <v>0.81704628949301983</v>
      </c>
      <c r="F339" s="17">
        <v>0.18295371050698017</v>
      </c>
      <c r="G339" s="13">
        <v>0.96073413923938944</v>
      </c>
      <c r="H339" s="13">
        <v>4.4636226793778224</v>
      </c>
      <c r="I339" s="14">
        <v>9.2955083843460606</v>
      </c>
      <c r="J339" s="16">
        <v>0.79679999999999995</v>
      </c>
      <c r="K339" s="16">
        <v>0.79679999999999995</v>
      </c>
      <c r="L339" s="13">
        <v>0.45179999999999998</v>
      </c>
      <c r="M339" s="13">
        <v>6.4100000000000004E-2</v>
      </c>
      <c r="N339" s="13">
        <v>9.6500000000000002E-2</v>
      </c>
      <c r="O339" s="13">
        <v>6.54E-2</v>
      </c>
      <c r="P339" s="16">
        <v>1</v>
      </c>
      <c r="Q339" s="16">
        <v>0.56320000000000003</v>
      </c>
      <c r="R339" s="16">
        <v>1</v>
      </c>
      <c r="S339" s="16">
        <f t="shared" si="10"/>
        <v>0.85440000000000005</v>
      </c>
      <c r="T339" s="18">
        <v>0.96775679410409898</v>
      </c>
      <c r="U339" s="1">
        <v>14.08450704</v>
      </c>
      <c r="V339" s="1">
        <f t="shared" si="11"/>
        <v>2.7136681932570403</v>
      </c>
      <c r="W339" s="26"/>
      <c r="X339">
        <v>6.2600000000000003E-2</v>
      </c>
      <c r="Y339" s="1">
        <v>0.36659999999999998</v>
      </c>
      <c r="Z339" s="1">
        <v>0.31230000000000002</v>
      </c>
      <c r="AA339" s="1">
        <v>11157</v>
      </c>
      <c r="AB339" s="1">
        <v>71</v>
      </c>
      <c r="AC339" s="29">
        <v>1841</v>
      </c>
    </row>
    <row r="340" spans="1:29">
      <c r="A340" s="12">
        <v>17</v>
      </c>
      <c r="B340" s="12" t="s">
        <v>38</v>
      </c>
      <c r="C340" s="12">
        <v>17653</v>
      </c>
      <c r="D340" s="12" t="s">
        <v>356</v>
      </c>
      <c r="E340" s="17">
        <v>0.71616179303099281</v>
      </c>
      <c r="F340" s="17">
        <v>0.28383820696900719</v>
      </c>
      <c r="G340" s="13">
        <v>0.85383235323432671</v>
      </c>
      <c r="H340" s="13">
        <v>2.5226151315789473</v>
      </c>
      <c r="I340" s="14">
        <v>9.7488200725239889</v>
      </c>
      <c r="J340" s="16">
        <v>0.61839999999999995</v>
      </c>
      <c r="K340" s="16">
        <v>0.61780000000000002</v>
      </c>
      <c r="L340" s="13">
        <v>0.46260000000000001</v>
      </c>
      <c r="M340" s="13">
        <v>2.2499999999999999E-2</v>
      </c>
      <c r="N340" s="13">
        <v>6.7400000000000002E-2</v>
      </c>
      <c r="O340" s="13">
        <v>2.2499999999999999E-2</v>
      </c>
      <c r="P340" s="16">
        <v>0.65989999999999993</v>
      </c>
      <c r="Q340" s="16">
        <v>0.47859999999999997</v>
      </c>
      <c r="R340" s="16">
        <v>0.48219999999999996</v>
      </c>
      <c r="S340" s="16">
        <f t="shared" si="10"/>
        <v>0.54023333333333323</v>
      </c>
      <c r="T340" s="18">
        <v>0.70836454431959994</v>
      </c>
      <c r="U340" s="1">
        <v>0</v>
      </c>
      <c r="V340" s="1">
        <f t="shared" si="11"/>
        <v>0</v>
      </c>
      <c r="W340" s="25"/>
      <c r="X340">
        <v>5.2499999999999998E-2</v>
      </c>
      <c r="Y340" s="1">
        <v>8.0600000000000005E-2</v>
      </c>
      <c r="Z340" s="1">
        <v>7.7499999999999999E-2</v>
      </c>
      <c r="AA340" s="1">
        <v>19511</v>
      </c>
      <c r="AB340" s="1">
        <v>101</v>
      </c>
      <c r="AC340" s="29">
        <v>3033</v>
      </c>
    </row>
    <row r="341" spans="1:29">
      <c r="A341" s="12">
        <v>17</v>
      </c>
      <c r="B341" s="12" t="s">
        <v>38</v>
      </c>
      <c r="C341" s="12">
        <v>17662</v>
      </c>
      <c r="D341" s="12" t="s">
        <v>357</v>
      </c>
      <c r="E341" s="17">
        <v>0.89282953227676842</v>
      </c>
      <c r="F341" s="17">
        <v>0.10717046772323154</v>
      </c>
      <c r="G341" s="13">
        <v>0.96642540275507827</v>
      </c>
      <c r="H341" s="13">
        <v>8.3271744028841823</v>
      </c>
      <c r="I341" s="14">
        <v>9.9377440412142182</v>
      </c>
      <c r="J341" s="16">
        <v>0.79730000000000001</v>
      </c>
      <c r="K341" s="16">
        <v>0.79730000000000001</v>
      </c>
      <c r="L341" s="13">
        <v>0.59519999999999995</v>
      </c>
      <c r="M341" s="13">
        <v>2.4500000000000001E-2</v>
      </c>
      <c r="N341" s="13">
        <v>6.0699999999999997E-2</v>
      </c>
      <c r="O341" s="13">
        <v>3.56E-2</v>
      </c>
      <c r="P341" s="16">
        <v>0.41820000000000002</v>
      </c>
      <c r="Q341" s="16">
        <v>0.1956</v>
      </c>
      <c r="R341" s="16">
        <v>0.23929999999999998</v>
      </c>
      <c r="S341" s="16">
        <f t="shared" si="10"/>
        <v>0.28436666666666666</v>
      </c>
      <c r="T341" s="18">
        <v>0.906693711967545</v>
      </c>
      <c r="U341" s="1">
        <v>23.809523810000002</v>
      </c>
      <c r="V341" s="1">
        <f t="shared" si="11"/>
        <v>3.2112276040491379</v>
      </c>
      <c r="W341" s="26"/>
      <c r="X341">
        <v>3.1600000000000003E-2</v>
      </c>
      <c r="Y341" s="1">
        <v>3.2500000000000001E-2</v>
      </c>
      <c r="Z341" s="1">
        <v>3.2000000000000001E-2</v>
      </c>
      <c r="AA341" s="1">
        <v>21128</v>
      </c>
      <c r="AB341" s="1">
        <v>126</v>
      </c>
      <c r="AC341" s="29">
        <v>4152</v>
      </c>
    </row>
    <row r="342" spans="1:29">
      <c r="A342" s="12">
        <v>17</v>
      </c>
      <c r="B342" s="12" t="s">
        <v>38</v>
      </c>
      <c r="C342" s="12">
        <v>17665</v>
      </c>
      <c r="D342" s="12" t="s">
        <v>358</v>
      </c>
      <c r="E342" s="17">
        <v>0.84591335417597147</v>
      </c>
      <c r="F342" s="17">
        <v>0.15408664582402859</v>
      </c>
      <c r="G342" s="13">
        <v>0.90409852614577024</v>
      </c>
      <c r="H342" s="13">
        <v>5.4819102749638207</v>
      </c>
      <c r="I342" s="14">
        <v>8.4071550862073003</v>
      </c>
      <c r="J342" s="16">
        <v>0.92630000000000001</v>
      </c>
      <c r="K342" s="16">
        <v>0.92630000000000001</v>
      </c>
      <c r="L342" s="13">
        <v>0.60499999999999998</v>
      </c>
      <c r="M342" s="13">
        <v>1.95E-2</v>
      </c>
      <c r="N342" s="13">
        <v>8.5599999999999996E-2</v>
      </c>
      <c r="O342" s="13">
        <v>2.98E-2</v>
      </c>
      <c r="P342" s="16">
        <v>0.31359999999999999</v>
      </c>
      <c r="Q342" s="16">
        <v>0.25659999999999999</v>
      </c>
      <c r="R342" s="16">
        <v>0.25989999999999996</v>
      </c>
      <c r="S342" s="16">
        <f t="shared" si="10"/>
        <v>0.2767</v>
      </c>
      <c r="T342" s="18">
        <v>0.96993006993006903</v>
      </c>
      <c r="U342" s="1">
        <v>27.027027029999999</v>
      </c>
      <c r="V342" s="1">
        <f t="shared" si="11"/>
        <v>3.3331692956913779</v>
      </c>
      <c r="W342" s="25"/>
      <c r="X342">
        <v>8.1500000000000003E-2</v>
      </c>
      <c r="Y342" s="1">
        <v>0.38840000000000002</v>
      </c>
      <c r="Z342" s="1">
        <v>0.3281</v>
      </c>
      <c r="AA342" s="1">
        <v>5002</v>
      </c>
      <c r="AB342" s="1">
        <v>37</v>
      </c>
      <c r="AC342" s="29">
        <v>837</v>
      </c>
    </row>
    <row r="343" spans="1:29">
      <c r="A343" s="12">
        <v>17</v>
      </c>
      <c r="B343" s="12" t="s">
        <v>38</v>
      </c>
      <c r="C343" s="12">
        <v>17777</v>
      </c>
      <c r="D343" s="12" t="s">
        <v>359</v>
      </c>
      <c r="E343" s="17">
        <v>0.71980010891501423</v>
      </c>
      <c r="F343" s="17">
        <v>0.28019989108498572</v>
      </c>
      <c r="G343" s="13">
        <v>1</v>
      </c>
      <c r="H343" s="13">
        <v>2.5685871056241427</v>
      </c>
      <c r="I343" s="14">
        <v>10.348750130518358</v>
      </c>
      <c r="J343" s="16">
        <v>0.84709999999999996</v>
      </c>
      <c r="K343" s="16">
        <v>0.84709999999999996</v>
      </c>
      <c r="L343" s="13">
        <v>0.57020000000000004</v>
      </c>
      <c r="M343" s="13">
        <v>3.15E-2</v>
      </c>
      <c r="N343" s="13">
        <v>6.6900000000000001E-2</v>
      </c>
      <c r="O343" s="13">
        <v>4.4499999999999998E-2</v>
      </c>
      <c r="P343" s="16">
        <v>0.91359999999999997</v>
      </c>
      <c r="Q343" s="16">
        <v>0.55459999999999998</v>
      </c>
      <c r="R343" s="16">
        <v>0.57109999999999994</v>
      </c>
      <c r="S343" s="16">
        <f t="shared" si="10"/>
        <v>0.67976666666666663</v>
      </c>
      <c r="T343" s="18">
        <v>1</v>
      </c>
      <c r="U343" s="1">
        <v>9.1743119269999998</v>
      </c>
      <c r="V343" s="1">
        <f t="shared" si="11"/>
        <v>2.3198661051599969</v>
      </c>
      <c r="W343" s="26"/>
      <c r="X343">
        <v>5.62E-2</v>
      </c>
      <c r="Y343" s="1">
        <v>0.41370000000000001</v>
      </c>
      <c r="Z343" s="1">
        <v>0.34620000000000001</v>
      </c>
      <c r="AA343" s="1">
        <v>31325</v>
      </c>
      <c r="AB343" s="1">
        <v>218</v>
      </c>
      <c r="AC343" s="29">
        <v>5464</v>
      </c>
    </row>
    <row r="344" spans="1:29">
      <c r="A344" s="12">
        <v>17</v>
      </c>
      <c r="B344" s="12" t="s">
        <v>38</v>
      </c>
      <c r="C344" s="12">
        <v>17867</v>
      </c>
      <c r="D344" s="12" t="s">
        <v>360</v>
      </c>
      <c r="E344" s="17">
        <v>0.7915422291243579</v>
      </c>
      <c r="F344" s="17">
        <v>0.2084577708756421</v>
      </c>
      <c r="G344" s="13">
        <v>0.79534441805225653</v>
      </c>
      <c r="H344" s="13">
        <v>3.7949599083619701</v>
      </c>
      <c r="I344" s="14">
        <v>9.0326480835658902</v>
      </c>
      <c r="J344" s="16">
        <v>0.7198</v>
      </c>
      <c r="K344" s="16">
        <v>0.7198</v>
      </c>
      <c r="L344" s="13">
        <v>0.49659999999999999</v>
      </c>
      <c r="M344" s="13">
        <v>4.82E-2</v>
      </c>
      <c r="N344" s="13">
        <v>9.7100000000000006E-2</v>
      </c>
      <c r="O344" s="13">
        <v>3.2800000000000003E-2</v>
      </c>
      <c r="P344" s="16">
        <v>0.59920000000000007</v>
      </c>
      <c r="Q344" s="16">
        <v>0.56850000000000001</v>
      </c>
      <c r="R344" s="16">
        <v>0.59589999999999999</v>
      </c>
      <c r="S344" s="16">
        <f t="shared" si="10"/>
        <v>0.58786666666666665</v>
      </c>
      <c r="T344" s="18">
        <v>0.95723962743437696</v>
      </c>
      <c r="U344" s="1">
        <v>0</v>
      </c>
      <c r="V344" s="1">
        <f t="shared" si="11"/>
        <v>0</v>
      </c>
      <c r="W344" s="25"/>
      <c r="X344">
        <v>5.2900000000000003E-2</v>
      </c>
      <c r="Y344" s="1">
        <v>3.9399999999999998E-2</v>
      </c>
      <c r="Z344" s="1">
        <v>3.8699999999999998E-2</v>
      </c>
      <c r="AA344" s="1">
        <v>10927</v>
      </c>
      <c r="AB344" s="1">
        <v>53</v>
      </c>
      <c r="AC344" s="29">
        <v>2048</v>
      </c>
    </row>
    <row r="345" spans="1:29">
      <c r="A345" s="12">
        <v>17</v>
      </c>
      <c r="B345" s="12" t="s">
        <v>38</v>
      </c>
      <c r="C345" s="12">
        <v>17873</v>
      </c>
      <c r="D345" s="12" t="s">
        <v>361</v>
      </c>
      <c r="E345" s="17">
        <v>0.53363863995782812</v>
      </c>
      <c r="F345" s="17">
        <v>0.46632841328413283</v>
      </c>
      <c r="G345" s="13">
        <v>0.43975022094724792</v>
      </c>
      <c r="H345" s="13">
        <v>1.1442599788060757</v>
      </c>
      <c r="I345" s="14">
        <v>10.320650638390102</v>
      </c>
      <c r="J345" s="16">
        <v>0.82709999999999995</v>
      </c>
      <c r="K345" s="16">
        <v>0.81799999999999995</v>
      </c>
      <c r="L345" s="13">
        <v>0.503</v>
      </c>
      <c r="M345" s="13">
        <v>3.27E-2</v>
      </c>
      <c r="N345" s="13">
        <v>8.8700000000000001E-2</v>
      </c>
      <c r="O345" s="13">
        <v>6.4799999999999996E-2</v>
      </c>
      <c r="P345" s="16">
        <v>0.91010000000000002</v>
      </c>
      <c r="Q345" s="16">
        <v>0.72909999999999997</v>
      </c>
      <c r="R345" s="16">
        <v>0.73790000000000011</v>
      </c>
      <c r="S345" s="16">
        <f t="shared" si="10"/>
        <v>0.79236666666666666</v>
      </c>
      <c r="T345" s="18">
        <v>0.81183991106170095</v>
      </c>
      <c r="U345" s="1">
        <v>5.763688761</v>
      </c>
      <c r="V345" s="1">
        <f t="shared" si="11"/>
        <v>1.9115684159327113</v>
      </c>
      <c r="W345" s="26"/>
      <c r="X345">
        <v>7.4899999999999994E-2</v>
      </c>
      <c r="Y345" s="1">
        <v>0.52980000000000005</v>
      </c>
      <c r="Z345" s="1">
        <v>0.42509999999999998</v>
      </c>
      <c r="AA345" s="1">
        <v>72649</v>
      </c>
      <c r="AB345" s="1">
        <v>347</v>
      </c>
      <c r="AC345" s="29">
        <v>11611</v>
      </c>
    </row>
    <row r="346" spans="1:29">
      <c r="A346" s="12">
        <v>17</v>
      </c>
      <c r="B346" s="12" t="s">
        <v>38</v>
      </c>
      <c r="C346" s="12">
        <v>17877</v>
      </c>
      <c r="D346" s="12" t="s">
        <v>362</v>
      </c>
      <c r="E346" s="17">
        <v>0.62991459567592523</v>
      </c>
      <c r="F346" s="17">
        <v>0.37008540432407477</v>
      </c>
      <c r="G346" s="13">
        <v>0.98201737816395918</v>
      </c>
      <c r="H346" s="13">
        <v>1.7017252130534193</v>
      </c>
      <c r="I346" s="14">
        <v>9.4725507784542948</v>
      </c>
      <c r="J346" s="16">
        <v>0.86809999999999998</v>
      </c>
      <c r="K346" s="16">
        <v>0.86760000000000004</v>
      </c>
      <c r="L346" s="13">
        <v>0.437</v>
      </c>
      <c r="M346" s="13">
        <v>3.27E-2</v>
      </c>
      <c r="N346" s="13">
        <v>0.1111</v>
      </c>
      <c r="O346" s="13">
        <v>6.9699999999999998E-2</v>
      </c>
      <c r="P346" s="16">
        <v>0.91959999999999997</v>
      </c>
      <c r="Q346" s="16">
        <v>0.86510000000000009</v>
      </c>
      <c r="R346" s="16">
        <v>0.92180000000000006</v>
      </c>
      <c r="S346" s="16">
        <f t="shared" si="10"/>
        <v>0.90216666666666667</v>
      </c>
      <c r="T346" s="18">
        <v>1</v>
      </c>
      <c r="U346" s="1">
        <v>14.08450704</v>
      </c>
      <c r="V346" s="1">
        <f t="shared" si="11"/>
        <v>2.7136681932570403</v>
      </c>
      <c r="W346" s="25"/>
      <c r="X346">
        <v>7.3999999999999996E-2</v>
      </c>
      <c r="Y346" s="1">
        <v>0.35959999999999998</v>
      </c>
      <c r="Z346" s="1">
        <v>0.30719999999999997</v>
      </c>
      <c r="AA346" s="1">
        <v>12728</v>
      </c>
      <c r="AB346" s="1">
        <v>71</v>
      </c>
      <c r="AC346" s="29">
        <v>2063</v>
      </c>
    </row>
    <row r="347" spans="1:29">
      <c r="A347" s="12">
        <v>18</v>
      </c>
      <c r="B347" s="12" t="s">
        <v>363</v>
      </c>
      <c r="C347" s="12">
        <v>18001</v>
      </c>
      <c r="D347" s="12" t="s">
        <v>370</v>
      </c>
      <c r="E347" s="17">
        <v>0.71512813418995214</v>
      </c>
      <c r="F347" s="17">
        <v>0.28486161917350628</v>
      </c>
      <c r="G347" s="13">
        <v>1</v>
      </c>
      <c r="H347" s="13">
        <v>2.5103953095212401</v>
      </c>
      <c r="I347" s="14">
        <v>12.181713352382705</v>
      </c>
      <c r="J347" s="16">
        <v>0.90780000000000005</v>
      </c>
      <c r="K347" s="16">
        <v>0.90690000000000004</v>
      </c>
      <c r="L347" s="13">
        <v>0.40860000000000002</v>
      </c>
      <c r="M347" s="13">
        <v>5.9299999999999999E-2</v>
      </c>
      <c r="N347" s="13">
        <v>0.1123</v>
      </c>
      <c r="O347" s="13">
        <v>9.4899999999999998E-2</v>
      </c>
      <c r="P347" s="16">
        <v>0.73849999999999993</v>
      </c>
      <c r="Q347" s="16">
        <v>0.72680000000000011</v>
      </c>
      <c r="R347" s="16"/>
      <c r="S347" s="16">
        <f t="shared" si="10"/>
        <v>0.48843333333333333</v>
      </c>
      <c r="T347" s="18">
        <v>0.80164336168372496</v>
      </c>
      <c r="U347" s="1">
        <v>8.4200099060000007</v>
      </c>
      <c r="V347" s="1">
        <f t="shared" si="11"/>
        <v>2.2428361401800756</v>
      </c>
      <c r="W347" s="26"/>
      <c r="X347">
        <v>0.15010000000000001</v>
      </c>
      <c r="Y347" s="1">
        <v>0.21260000000000001</v>
      </c>
      <c r="Z347" s="1">
        <v>0.1928</v>
      </c>
      <c r="AA347" s="1">
        <v>184170</v>
      </c>
      <c r="AB347" s="1">
        <v>2019</v>
      </c>
      <c r="AC347" s="29">
        <v>35502</v>
      </c>
    </row>
    <row r="348" spans="1:29">
      <c r="A348" s="12">
        <v>18</v>
      </c>
      <c r="B348" s="12" t="s">
        <v>363</v>
      </c>
      <c r="C348" s="12">
        <v>18029</v>
      </c>
      <c r="D348" s="12" t="s">
        <v>364</v>
      </c>
      <c r="E348" s="17">
        <v>0.9168423069553554</v>
      </c>
      <c r="F348" s="17">
        <v>8.3157693044644571E-2</v>
      </c>
      <c r="G348" s="13">
        <v>1</v>
      </c>
      <c r="H348" s="13">
        <v>11</v>
      </c>
      <c r="I348" s="14">
        <v>8.560252680876685</v>
      </c>
      <c r="J348" s="16">
        <v>0.74180000000000001</v>
      </c>
      <c r="K348" s="16">
        <v>0.74180000000000001</v>
      </c>
      <c r="L348" s="13">
        <v>0.28189999999999998</v>
      </c>
      <c r="M348" s="13">
        <v>6.6600000000000006E-2</v>
      </c>
      <c r="N348" s="13">
        <v>6.1899999999999997E-2</v>
      </c>
      <c r="O348" s="13">
        <v>5.0200000000000002E-2</v>
      </c>
      <c r="P348" s="16">
        <v>0.96950000000000003</v>
      </c>
      <c r="Q348" s="16">
        <v>0.70219999999999994</v>
      </c>
      <c r="R348" s="16">
        <v>0.81950000000000001</v>
      </c>
      <c r="S348" s="16">
        <f t="shared" si="10"/>
        <v>0.83040000000000003</v>
      </c>
      <c r="T348" s="18">
        <v>0.56567656765676499</v>
      </c>
      <c r="U348" s="1">
        <v>22.727272729999999</v>
      </c>
      <c r="V348" s="1">
        <f t="shared" si="11"/>
        <v>3.1666251346392653</v>
      </c>
      <c r="W348" s="26"/>
      <c r="X348">
        <v>3.73E-2</v>
      </c>
      <c r="Y348" s="1">
        <v>1.4E-2</v>
      </c>
      <c r="Z348" s="1">
        <v>1.3899999999999999E-2</v>
      </c>
      <c r="AA348" s="1">
        <v>4833</v>
      </c>
      <c r="AB348" s="1">
        <v>44</v>
      </c>
      <c r="AC348" s="29">
        <v>1086</v>
      </c>
    </row>
    <row r="349" spans="1:29" ht="25.5">
      <c r="A349" s="12">
        <v>18</v>
      </c>
      <c r="B349" s="12" t="s">
        <v>363</v>
      </c>
      <c r="C349" s="12">
        <v>18094</v>
      </c>
      <c r="D349" s="12" t="s">
        <v>365</v>
      </c>
      <c r="E349" s="17">
        <v>0.91333964049195837</v>
      </c>
      <c r="F349" s="17">
        <v>8.6660359508041629E-2</v>
      </c>
      <c r="G349" s="13">
        <v>0.91459721380981218</v>
      </c>
      <c r="H349" s="13">
        <v>10.527808069792803</v>
      </c>
      <c r="I349" s="14">
        <v>9.2658696817686632</v>
      </c>
      <c r="J349" s="16">
        <v>0.68510000000000004</v>
      </c>
      <c r="K349" s="16">
        <v>0.68510000000000004</v>
      </c>
      <c r="L349" s="13">
        <v>0.254</v>
      </c>
      <c r="M349" s="13">
        <v>6.1199999999999997E-2</v>
      </c>
      <c r="N349" s="13">
        <v>0.1143</v>
      </c>
      <c r="O349" s="13">
        <v>5.6500000000000002E-2</v>
      </c>
      <c r="P349" s="16">
        <v>0.998</v>
      </c>
      <c r="Q349" s="16">
        <v>0.99349999999999994</v>
      </c>
      <c r="R349" s="16">
        <v>1</v>
      </c>
      <c r="S349" s="16">
        <f t="shared" si="10"/>
        <v>0.99716666666666665</v>
      </c>
      <c r="T349" s="18">
        <v>0.8561253561253559</v>
      </c>
      <c r="U349" s="1">
        <v>0</v>
      </c>
      <c r="V349" s="1">
        <f t="shared" si="11"/>
        <v>0</v>
      </c>
      <c r="W349" s="25"/>
      <c r="X349">
        <v>2.12E-2</v>
      </c>
      <c r="Y349" s="1">
        <v>2.29E-2</v>
      </c>
      <c r="Z349" s="1">
        <v>2.2599999999999999E-2</v>
      </c>
      <c r="AA349" s="1">
        <v>11371</v>
      </c>
      <c r="AB349" s="1">
        <v>112</v>
      </c>
      <c r="AC349" s="29">
        <v>2749</v>
      </c>
    </row>
    <row r="350" spans="1:29" ht="25.5">
      <c r="A350" s="12">
        <v>18</v>
      </c>
      <c r="B350" s="12" t="s">
        <v>363</v>
      </c>
      <c r="C350" s="12">
        <v>18150</v>
      </c>
      <c r="D350" s="12" t="s">
        <v>366</v>
      </c>
      <c r="E350" s="17">
        <v>0.95352340567985272</v>
      </c>
      <c r="F350" s="17">
        <v>4.6476594320147294E-2</v>
      </c>
      <c r="G350" s="13">
        <v>1</v>
      </c>
      <c r="H350" s="13">
        <v>20.503899220155969</v>
      </c>
      <c r="I350" s="14">
        <v>10.487015160517863</v>
      </c>
      <c r="J350" s="16">
        <v>0.85370000000000001</v>
      </c>
      <c r="K350" s="16">
        <v>0.85250000000000004</v>
      </c>
      <c r="L350" s="13">
        <v>0.24809999999999999</v>
      </c>
      <c r="M350" s="13">
        <v>8.7599999999999997E-2</v>
      </c>
      <c r="N350" s="13">
        <v>9.8199999999999996E-2</v>
      </c>
      <c r="O350" s="13">
        <v>4.24E-2</v>
      </c>
      <c r="P350" s="16">
        <v>0</v>
      </c>
      <c r="Q350" s="16">
        <v>0</v>
      </c>
      <c r="R350" s="16">
        <v>0</v>
      </c>
      <c r="S350" s="16">
        <f t="shared" si="10"/>
        <v>0</v>
      </c>
      <c r="T350" s="18">
        <v>0.22132409545804399</v>
      </c>
      <c r="U350" s="1">
        <v>22.123893809999998</v>
      </c>
      <c r="V350" s="1">
        <f t="shared" si="11"/>
        <v>3.1408664470111036</v>
      </c>
      <c r="W350" s="26"/>
      <c r="X350">
        <v>4.0399999999999998E-2</v>
      </c>
      <c r="Y350" s="1">
        <v>2.8999999999999998E-3</v>
      </c>
      <c r="Z350" s="1">
        <v>2.8999999999999998E-3</v>
      </c>
      <c r="AA350" s="1">
        <v>32224</v>
      </c>
      <c r="AB350" s="1">
        <v>452</v>
      </c>
      <c r="AC350" s="29">
        <v>8155</v>
      </c>
    </row>
    <row r="351" spans="1:29">
      <c r="A351" s="12">
        <v>18</v>
      </c>
      <c r="B351" s="12" t="s">
        <v>363</v>
      </c>
      <c r="C351" s="12">
        <v>18205</v>
      </c>
      <c r="D351" s="12" t="s">
        <v>367</v>
      </c>
      <c r="E351" s="17">
        <v>0.94976691085529441</v>
      </c>
      <c r="F351" s="17">
        <v>5.0233089144705548E-2</v>
      </c>
      <c r="G351" s="13">
        <v>1</v>
      </c>
      <c r="H351" s="13">
        <v>18.871455576559548</v>
      </c>
      <c r="I351" s="14">
        <v>9.2602727407243925</v>
      </c>
      <c r="J351" s="16">
        <v>0.8024</v>
      </c>
      <c r="K351" s="16">
        <v>0.8024</v>
      </c>
      <c r="L351" s="13">
        <v>0.33129999999999998</v>
      </c>
      <c r="M351" s="13">
        <v>7.8299999999999995E-2</v>
      </c>
      <c r="N351" s="13">
        <v>9.8199999999999996E-2</v>
      </c>
      <c r="O351" s="13">
        <v>0.06</v>
      </c>
      <c r="P351" s="16">
        <v>0.2681</v>
      </c>
      <c r="Q351" s="16">
        <v>0.2681</v>
      </c>
      <c r="R351" s="16">
        <v>0.2681</v>
      </c>
      <c r="S351" s="16">
        <f t="shared" si="10"/>
        <v>0.2681</v>
      </c>
      <c r="T351" s="18">
        <v>0.72204472843450407</v>
      </c>
      <c r="U351" s="1">
        <v>0</v>
      </c>
      <c r="V351" s="1">
        <f t="shared" si="11"/>
        <v>0</v>
      </c>
      <c r="W351" s="25"/>
      <c r="X351">
        <v>3.8600000000000002E-2</v>
      </c>
      <c r="Y351" s="1">
        <v>3.0599999999999999E-2</v>
      </c>
      <c r="Z351" s="1">
        <v>3.0200000000000001E-2</v>
      </c>
      <c r="AA351" s="1">
        <v>7783</v>
      </c>
      <c r="AB351" s="1">
        <v>105</v>
      </c>
      <c r="AC351" s="29">
        <v>1892</v>
      </c>
    </row>
    <row r="352" spans="1:29">
      <c r="A352" s="12">
        <v>18</v>
      </c>
      <c r="B352" s="12" t="s">
        <v>363</v>
      </c>
      <c r="C352" s="12">
        <v>18247</v>
      </c>
      <c r="D352" s="12" t="s">
        <v>368</v>
      </c>
      <c r="E352" s="17">
        <v>0.89060742407199101</v>
      </c>
      <c r="F352" s="17">
        <v>0.10934570678665168</v>
      </c>
      <c r="G352" s="13">
        <v>1</v>
      </c>
      <c r="H352" s="13">
        <v>8.1413881748071972</v>
      </c>
      <c r="I352" s="14">
        <v>9.9681979339048841</v>
      </c>
      <c r="J352" s="16">
        <v>0.74529999999999996</v>
      </c>
      <c r="K352" s="16">
        <v>0.74509999999999998</v>
      </c>
      <c r="L352" s="13">
        <v>0.41589999999999999</v>
      </c>
      <c r="M352" s="13">
        <v>5.4199999999999998E-2</v>
      </c>
      <c r="N352" s="13">
        <v>8.1199999999999994E-2</v>
      </c>
      <c r="O352" s="13">
        <v>3.7900000000000003E-2</v>
      </c>
      <c r="P352" s="16">
        <v>0.63519999999999999</v>
      </c>
      <c r="Q352" s="16">
        <v>0.63519999999999999</v>
      </c>
      <c r="R352" s="16">
        <v>0.63519999999999999</v>
      </c>
      <c r="S352" s="16">
        <f t="shared" si="10"/>
        <v>0.63519999999999999</v>
      </c>
      <c r="T352" s="18">
        <v>0.615811373092926</v>
      </c>
      <c r="U352" s="1">
        <v>11.9047619</v>
      </c>
      <c r="V352" s="1">
        <f t="shared" si="11"/>
        <v>2.5575963827872741</v>
      </c>
      <c r="W352" s="26"/>
      <c r="X352">
        <v>5.5800000000000002E-2</v>
      </c>
      <c r="Y352" s="1">
        <v>4.5499999999999999E-2</v>
      </c>
      <c r="Z352" s="1">
        <v>4.4499999999999998E-2</v>
      </c>
      <c r="AA352" s="1">
        <v>19817</v>
      </c>
      <c r="AB352" s="1">
        <v>168</v>
      </c>
      <c r="AC352" s="29">
        <v>4264</v>
      </c>
    </row>
    <row r="353" spans="1:29">
      <c r="A353" s="12">
        <v>18</v>
      </c>
      <c r="B353" s="12" t="s">
        <v>363</v>
      </c>
      <c r="C353" s="12">
        <v>18256</v>
      </c>
      <c r="D353" s="12" t="s">
        <v>369</v>
      </c>
      <c r="E353" s="17">
        <v>0.9369160343638302</v>
      </c>
      <c r="F353" s="17">
        <v>6.3083965636169817E-2</v>
      </c>
      <c r="G353" s="13">
        <v>0.82669777086573359</v>
      </c>
      <c r="H353" s="13">
        <v>14.837140019860973</v>
      </c>
      <c r="I353" s="14">
        <v>9.6770887085012465</v>
      </c>
      <c r="J353" s="16">
        <v>0.54810000000000003</v>
      </c>
      <c r="K353" s="16">
        <v>0.54810000000000003</v>
      </c>
      <c r="L353" s="13">
        <v>0.19750000000000001</v>
      </c>
      <c r="M353" s="13">
        <v>7.8E-2</v>
      </c>
      <c r="N353" s="13">
        <v>0.1232</v>
      </c>
      <c r="O353" s="13">
        <v>6.2600000000000003E-2</v>
      </c>
      <c r="P353" s="16">
        <v>0.68709999999999993</v>
      </c>
      <c r="Q353" s="16">
        <v>0.68709999999999993</v>
      </c>
      <c r="R353" s="16">
        <v>0.68709999999999993</v>
      </c>
      <c r="S353" s="16">
        <f t="shared" si="10"/>
        <v>0.68709999999999993</v>
      </c>
      <c r="T353" s="18">
        <v>0.36727716727716697</v>
      </c>
      <c r="U353" s="1">
        <v>7.1942446039999997</v>
      </c>
      <c r="V353" s="1">
        <f t="shared" si="11"/>
        <v>2.10343203027786</v>
      </c>
      <c r="W353" s="25"/>
      <c r="X353">
        <v>2.53E-2</v>
      </c>
      <c r="Y353" s="1">
        <v>1.6899999999999998E-2</v>
      </c>
      <c r="Z353" s="1">
        <v>1.6799999999999999E-2</v>
      </c>
      <c r="AA353" s="1">
        <v>18838</v>
      </c>
      <c r="AB353" s="1">
        <v>139</v>
      </c>
      <c r="AC353" s="29">
        <v>4294</v>
      </c>
    </row>
    <row r="354" spans="1:29">
      <c r="A354" s="12">
        <v>18</v>
      </c>
      <c r="B354" s="12" t="s">
        <v>363</v>
      </c>
      <c r="C354" s="12">
        <v>18410</v>
      </c>
      <c r="D354" s="12" t="s">
        <v>371</v>
      </c>
      <c r="E354" s="17">
        <v>0.94696270918434577</v>
      </c>
      <c r="F354" s="17">
        <v>5.3037290815654239E-2</v>
      </c>
      <c r="G354" s="13">
        <v>0.97164074002944756</v>
      </c>
      <c r="H354" s="13">
        <v>17.832506203473944</v>
      </c>
      <c r="I354" s="14">
        <v>9.6276681726268585</v>
      </c>
      <c r="J354" s="16">
        <v>0.66420000000000001</v>
      </c>
      <c r="K354" s="16">
        <v>0.66420000000000001</v>
      </c>
      <c r="L354" s="13">
        <v>0.22420000000000001</v>
      </c>
      <c r="M354" s="13">
        <v>6.83E-2</v>
      </c>
      <c r="N354" s="13">
        <v>9.7699999999999995E-2</v>
      </c>
      <c r="O354" s="13">
        <v>4.9399999999999999E-2</v>
      </c>
      <c r="P354" s="16">
        <v>0.25650000000000001</v>
      </c>
      <c r="Q354" s="16">
        <v>0.25650000000000001</v>
      </c>
      <c r="R354" s="16">
        <v>0.25650000000000001</v>
      </c>
      <c r="S354" s="16">
        <f t="shared" si="10"/>
        <v>0.25650000000000001</v>
      </c>
      <c r="T354" s="18">
        <v>0.56559405940593999</v>
      </c>
      <c r="U354" s="1">
        <v>8</v>
      </c>
      <c r="V354" s="1">
        <f t="shared" si="11"/>
        <v>2.1972245773362196</v>
      </c>
      <c r="W354" s="25"/>
      <c r="X354">
        <v>1.44E-2</v>
      </c>
      <c r="Y354" s="1">
        <v>1.12E-2</v>
      </c>
      <c r="Z354" s="1">
        <v>1.12E-2</v>
      </c>
      <c r="AA354" s="1">
        <v>15382</v>
      </c>
      <c r="AB354" s="1">
        <v>125</v>
      </c>
      <c r="AC354" s="29">
        <v>3853</v>
      </c>
    </row>
    <row r="355" spans="1:29">
      <c r="A355" s="12">
        <v>18</v>
      </c>
      <c r="B355" s="12" t="s">
        <v>363</v>
      </c>
      <c r="C355" s="12">
        <v>18460</v>
      </c>
      <c r="D355" s="12" t="s">
        <v>372</v>
      </c>
      <c r="E355" s="17">
        <v>0.95410910793725123</v>
      </c>
      <c r="F355" s="17">
        <v>4.5890892062748774E-2</v>
      </c>
      <c r="G355" s="13">
        <v>0.82619208820969148</v>
      </c>
      <c r="H355" s="13">
        <v>20.737913486005088</v>
      </c>
      <c r="I355" s="14">
        <v>9.0528675131516181</v>
      </c>
      <c r="J355" s="16">
        <v>0.63370000000000004</v>
      </c>
      <c r="K355" s="16">
        <v>0.63370000000000004</v>
      </c>
      <c r="L355" s="13">
        <v>0.1913</v>
      </c>
      <c r="M355" s="13">
        <v>4.7500000000000001E-2</v>
      </c>
      <c r="N355" s="13">
        <v>0.15659999999999999</v>
      </c>
      <c r="O355" s="13">
        <v>0.1152</v>
      </c>
      <c r="P355" s="16">
        <v>0.10550000000000001</v>
      </c>
      <c r="Q355" s="16">
        <v>0.23739999999999997</v>
      </c>
      <c r="R355" s="16">
        <v>0.23739999999999997</v>
      </c>
      <c r="S355" s="16">
        <f t="shared" si="10"/>
        <v>0.19343333333333332</v>
      </c>
      <c r="T355" s="18">
        <v>0.52624920936116293</v>
      </c>
      <c r="U355" s="1">
        <v>11.764705879999999</v>
      </c>
      <c r="V355" s="1">
        <f t="shared" si="11"/>
        <v>2.5466840092999115</v>
      </c>
      <c r="W355" s="26"/>
      <c r="X355">
        <v>2.2599999999999999E-2</v>
      </c>
      <c r="Y355" s="1">
        <v>7.0000000000000001E-3</v>
      </c>
      <c r="Z355" s="1">
        <v>7.0000000000000001E-3</v>
      </c>
      <c r="AA355" s="1">
        <v>10177</v>
      </c>
      <c r="AB355" s="1">
        <v>85</v>
      </c>
      <c r="AC355" s="29">
        <v>2869</v>
      </c>
    </row>
    <row r="356" spans="1:29">
      <c r="A356" s="12">
        <v>18</v>
      </c>
      <c r="B356" s="12" t="s">
        <v>363</v>
      </c>
      <c r="C356" s="12">
        <v>18479</v>
      </c>
      <c r="D356" s="12" t="s">
        <v>373</v>
      </c>
      <c r="E356" s="17">
        <v>0.91643059490084988</v>
      </c>
      <c r="F356" s="17">
        <v>8.3569405099150146E-2</v>
      </c>
      <c r="G356" s="13">
        <v>1</v>
      </c>
      <c r="H356" s="13">
        <v>10.935211267605634</v>
      </c>
      <c r="I356" s="14">
        <v>8.3516107506265591</v>
      </c>
      <c r="J356" s="16">
        <v>0.68640000000000001</v>
      </c>
      <c r="K356" s="16">
        <v>0.68640000000000001</v>
      </c>
      <c r="L356" s="13">
        <v>0.1449</v>
      </c>
      <c r="M356" s="13">
        <v>0.1028</v>
      </c>
      <c r="N356" s="13">
        <v>0.1207</v>
      </c>
      <c r="O356" s="13">
        <v>0.14030000000000001</v>
      </c>
      <c r="P356" s="16">
        <v>0.63749999999999996</v>
      </c>
      <c r="Q356" s="16">
        <v>0.42330000000000001</v>
      </c>
      <c r="R356" s="16">
        <v>0.42330000000000001</v>
      </c>
      <c r="S356" s="16">
        <f t="shared" si="10"/>
        <v>0.49469999999999997</v>
      </c>
      <c r="T356" s="18">
        <v>0.83948635634028801</v>
      </c>
      <c r="U356" s="1">
        <v>46.511627910000001</v>
      </c>
      <c r="V356" s="1">
        <f t="shared" si="11"/>
        <v>3.8609744791876914</v>
      </c>
      <c r="W356" s="25"/>
      <c r="X356">
        <v>5.21E-2</v>
      </c>
      <c r="Y356" s="1">
        <v>2.5700000000000001E-2</v>
      </c>
      <c r="Z356" s="1">
        <v>2.5399999999999999E-2</v>
      </c>
      <c r="AA356" s="1">
        <v>3807</v>
      </c>
      <c r="AB356" s="1">
        <v>43</v>
      </c>
      <c r="AC356" s="29">
        <v>797</v>
      </c>
    </row>
    <row r="357" spans="1:29">
      <c r="A357" s="12">
        <v>18</v>
      </c>
      <c r="B357" s="12" t="s">
        <v>363</v>
      </c>
      <c r="C357" s="12">
        <v>18592</v>
      </c>
      <c r="D357" s="12" t="s">
        <v>374</v>
      </c>
      <c r="E357" s="17">
        <v>0.92689285584965786</v>
      </c>
      <c r="F357" s="17">
        <v>7.3107144150342182E-2</v>
      </c>
      <c r="G357" s="13">
        <v>0.9902115453567587</v>
      </c>
      <c r="H357" s="13">
        <v>12.672277227722772</v>
      </c>
      <c r="I357" s="14">
        <v>10.226223013045296</v>
      </c>
      <c r="J357" s="16">
        <v>0.71860000000000002</v>
      </c>
      <c r="K357" s="16">
        <v>0.71860000000000002</v>
      </c>
      <c r="L357" s="13">
        <v>0.28210000000000002</v>
      </c>
      <c r="M357" s="13">
        <v>5.57E-2</v>
      </c>
      <c r="N357" s="13">
        <v>8.2799999999999999E-2</v>
      </c>
      <c r="O357" s="13">
        <v>3.9E-2</v>
      </c>
      <c r="P357" s="16">
        <v>0.94879999999999998</v>
      </c>
      <c r="Q357" s="16">
        <v>0.90930000000000011</v>
      </c>
      <c r="R357" s="16">
        <v>0.96299999999999997</v>
      </c>
      <c r="S357" s="16">
        <f t="shared" si="10"/>
        <v>0.94036666666666668</v>
      </c>
      <c r="T357" s="18">
        <v>0.53885869565217304</v>
      </c>
      <c r="U357" s="1">
        <v>4.1152263370000002</v>
      </c>
      <c r="V357" s="1">
        <f t="shared" si="11"/>
        <v>1.6322216480824716</v>
      </c>
      <c r="W357" s="26"/>
      <c r="X357">
        <v>2.3199999999999998E-2</v>
      </c>
      <c r="Y357" s="1">
        <v>8.8000000000000005E-3</v>
      </c>
      <c r="Z357" s="1">
        <v>8.6999999999999994E-3</v>
      </c>
      <c r="AA357" s="1">
        <v>27339</v>
      </c>
      <c r="AB357" s="1">
        <v>243</v>
      </c>
      <c r="AC357" s="29">
        <v>6528</v>
      </c>
    </row>
    <row r="358" spans="1:29" ht="25.5">
      <c r="A358" s="12">
        <v>18</v>
      </c>
      <c r="B358" s="12" t="s">
        <v>363</v>
      </c>
      <c r="C358" s="12">
        <v>18610</v>
      </c>
      <c r="D358" s="12" t="s">
        <v>375</v>
      </c>
      <c r="E358" s="17">
        <v>0.93965692589328087</v>
      </c>
      <c r="F358" s="17">
        <v>6.0343074106719102E-2</v>
      </c>
      <c r="G358" s="13">
        <v>1</v>
      </c>
      <c r="H358" s="13">
        <v>15.554433221099888</v>
      </c>
      <c r="I358" s="14">
        <v>9.5989983617679666</v>
      </c>
      <c r="J358" s="16">
        <v>0.80620000000000003</v>
      </c>
      <c r="K358" s="16">
        <v>0.80620000000000003</v>
      </c>
      <c r="L358" s="13">
        <v>0.33610000000000001</v>
      </c>
      <c r="M358" s="13">
        <v>6.9099999999999995E-2</v>
      </c>
      <c r="N358" s="13">
        <v>0.10970000000000001</v>
      </c>
      <c r="O358" s="13">
        <v>8.3299999999999999E-2</v>
      </c>
      <c r="P358" s="16">
        <v>0.76950000000000007</v>
      </c>
      <c r="Q358" s="16">
        <v>0.62139999999999995</v>
      </c>
      <c r="R358" s="16">
        <v>1</v>
      </c>
      <c r="S358" s="16">
        <f t="shared" si="10"/>
        <v>0.79696666666666671</v>
      </c>
      <c r="T358" s="18">
        <v>0.71718249733190997</v>
      </c>
      <c r="U358" s="1">
        <v>0</v>
      </c>
      <c r="V358" s="1">
        <f t="shared" si="11"/>
        <v>0</v>
      </c>
      <c r="W358" s="25"/>
      <c r="X358">
        <v>2.7900000000000001E-2</v>
      </c>
      <c r="Y358" s="1">
        <v>1.8499999999999999E-2</v>
      </c>
      <c r="Z358" s="1">
        <v>1.84E-2</v>
      </c>
      <c r="AA358" s="1">
        <v>13229</v>
      </c>
      <c r="AB358" s="1">
        <v>155</v>
      </c>
      <c r="AC358" s="29">
        <v>3341</v>
      </c>
    </row>
    <row r="359" spans="1:29" ht="25.5">
      <c r="A359" s="12">
        <v>18</v>
      </c>
      <c r="B359" s="12" t="s">
        <v>363</v>
      </c>
      <c r="C359" s="12">
        <v>18753</v>
      </c>
      <c r="D359" s="12" t="s">
        <v>376</v>
      </c>
      <c r="E359" s="17">
        <v>0.91007112467928941</v>
      </c>
      <c r="F359" s="17">
        <v>8.9928875320710602E-2</v>
      </c>
      <c r="G359" s="13">
        <v>1</v>
      </c>
      <c r="H359" s="13">
        <v>10.118071854125294</v>
      </c>
      <c r="I359" s="14">
        <v>11.028141137407799</v>
      </c>
      <c r="J359" s="16">
        <v>0.93989999999999996</v>
      </c>
      <c r="K359" s="16">
        <v>0.93910000000000005</v>
      </c>
      <c r="L359" s="13">
        <v>0.35680000000000001</v>
      </c>
      <c r="M359" s="13">
        <v>7.8E-2</v>
      </c>
      <c r="N359" s="13">
        <v>0.1022</v>
      </c>
      <c r="O359" s="13">
        <v>6.2300000000000001E-2</v>
      </c>
      <c r="P359" s="16">
        <v>0.80620000000000003</v>
      </c>
      <c r="Q359" s="16">
        <v>0.62009999999999998</v>
      </c>
      <c r="R359" s="16">
        <v>0.80319999999999991</v>
      </c>
      <c r="S359" s="16">
        <f t="shared" si="10"/>
        <v>0.74316666666666664</v>
      </c>
      <c r="T359" s="18">
        <v>0.98910904080829198</v>
      </c>
      <c r="U359" s="1">
        <v>4.8134777379999996</v>
      </c>
      <c r="V359" s="1">
        <f t="shared" si="11"/>
        <v>1.7601789697565033</v>
      </c>
      <c r="W359" s="26"/>
      <c r="X359">
        <v>8.2400000000000001E-2</v>
      </c>
      <c r="Y359" s="1">
        <v>8.0000000000000002E-3</v>
      </c>
      <c r="Z359" s="1">
        <v>8.0000000000000002E-3</v>
      </c>
      <c r="AA359" s="1">
        <v>52473</v>
      </c>
      <c r="AB359" s="1">
        <v>831</v>
      </c>
      <c r="AC359" s="29">
        <v>12470</v>
      </c>
    </row>
    <row r="360" spans="1:29">
      <c r="A360" s="12">
        <v>18</v>
      </c>
      <c r="B360" s="12" t="s">
        <v>363</v>
      </c>
      <c r="C360" s="12">
        <v>18756</v>
      </c>
      <c r="D360" s="12" t="s">
        <v>377</v>
      </c>
      <c r="E360" s="17">
        <v>0.95631392792276071</v>
      </c>
      <c r="F360" s="17">
        <v>4.368607207723927E-2</v>
      </c>
      <c r="G360" s="13">
        <v>0.86376021798365121</v>
      </c>
      <c r="H360" s="13">
        <v>21.842794759825328</v>
      </c>
      <c r="I360" s="14">
        <v>9.2555049239305571</v>
      </c>
      <c r="J360" s="16">
        <v>0.72609999999999997</v>
      </c>
      <c r="K360" s="16">
        <v>0.72609999999999997</v>
      </c>
      <c r="L360" s="13">
        <v>0.12379999999999999</v>
      </c>
      <c r="M360" s="13">
        <v>6.6600000000000006E-2</v>
      </c>
      <c r="N360" s="13">
        <v>0.1124</v>
      </c>
      <c r="O360" s="13">
        <v>3.6799999999999999E-2</v>
      </c>
      <c r="P360" s="16">
        <v>0.78239999999999998</v>
      </c>
      <c r="Q360" s="16">
        <v>0.67720000000000002</v>
      </c>
      <c r="R360" s="16">
        <v>0.68900000000000006</v>
      </c>
      <c r="S360" s="16">
        <f t="shared" si="10"/>
        <v>0.71620000000000006</v>
      </c>
      <c r="T360" s="18">
        <v>0.61053882725831998</v>
      </c>
      <c r="U360" s="1">
        <v>7.2463768120000003</v>
      </c>
      <c r="V360" s="1">
        <f t="shared" si="11"/>
        <v>2.1097739295782807</v>
      </c>
      <c r="W360" s="25"/>
      <c r="X360">
        <v>3.1899999999999998E-2</v>
      </c>
      <c r="Y360" s="1">
        <v>1.1999999999999999E-3</v>
      </c>
      <c r="Z360" s="1">
        <v>1.1999999999999999E-3</v>
      </c>
      <c r="AA360" s="1">
        <v>10830</v>
      </c>
      <c r="AB360" s="1">
        <v>138</v>
      </c>
      <c r="AC360" s="29">
        <v>2894</v>
      </c>
    </row>
    <row r="361" spans="1:29">
      <c r="A361" s="12">
        <v>18</v>
      </c>
      <c r="B361" s="12" t="s">
        <v>363</v>
      </c>
      <c r="C361" s="12">
        <v>18785</v>
      </c>
      <c r="D361" s="12" t="s">
        <v>378</v>
      </c>
      <c r="E361" s="17">
        <v>0.96191712647408845</v>
      </c>
      <c r="F361" s="17">
        <v>3.8082873525911498E-2</v>
      </c>
      <c r="G361" s="13">
        <v>1</v>
      </c>
      <c r="H361" s="13">
        <v>25.186968838526912</v>
      </c>
      <c r="I361" s="14">
        <v>9.1317299713942717</v>
      </c>
      <c r="J361" s="16">
        <v>0.77969999999999995</v>
      </c>
      <c r="K361" s="16">
        <v>0.77969999999999995</v>
      </c>
      <c r="L361" s="13">
        <v>0.29099999999999998</v>
      </c>
      <c r="M361" s="13">
        <v>5.4100000000000002E-2</v>
      </c>
      <c r="N361" s="13">
        <v>0.1111</v>
      </c>
      <c r="O361" s="13">
        <v>8.5599999999999996E-2</v>
      </c>
      <c r="P361" s="16">
        <v>0.4768</v>
      </c>
      <c r="Q361" s="16">
        <v>0.4768</v>
      </c>
      <c r="R361" s="16">
        <v>0.4768</v>
      </c>
      <c r="S361" s="16">
        <f t="shared" si="10"/>
        <v>0.47680000000000006</v>
      </c>
      <c r="T361" s="18">
        <v>0.391891891891891</v>
      </c>
      <c r="U361" s="1">
        <v>0</v>
      </c>
      <c r="V361" s="1">
        <f t="shared" si="11"/>
        <v>0</v>
      </c>
      <c r="W361" s="26"/>
      <c r="X361">
        <v>4.3900000000000002E-2</v>
      </c>
      <c r="Y361" s="1">
        <v>1.7600000000000001E-2</v>
      </c>
      <c r="Z361" s="1">
        <v>1.7500000000000002E-2</v>
      </c>
      <c r="AA361" s="1">
        <v>6398</v>
      </c>
      <c r="AB361" s="1">
        <v>101</v>
      </c>
      <c r="AC361" s="29">
        <v>1550</v>
      </c>
    </row>
    <row r="362" spans="1:29">
      <c r="A362" s="12">
        <v>18</v>
      </c>
      <c r="B362" s="12" t="s">
        <v>363</v>
      </c>
      <c r="C362" s="12">
        <v>18860</v>
      </c>
      <c r="D362" s="12" t="s">
        <v>129</v>
      </c>
      <c r="E362" s="17">
        <v>0.94264085019653521</v>
      </c>
      <c r="F362" s="17">
        <v>5.7359149803464841E-2</v>
      </c>
      <c r="G362" s="13">
        <v>0.93506670296760142</v>
      </c>
      <c r="H362" s="13">
        <v>16.39240506329114</v>
      </c>
      <c r="I362" s="14">
        <v>8.834919385216395</v>
      </c>
      <c r="J362" s="16">
        <v>0.62790000000000001</v>
      </c>
      <c r="K362" s="16">
        <v>0.62790000000000001</v>
      </c>
      <c r="L362" s="13">
        <v>0.1976</v>
      </c>
      <c r="M362" s="13">
        <v>0.05</v>
      </c>
      <c r="N362" s="13">
        <v>0.1095</v>
      </c>
      <c r="O362" s="13">
        <v>5.2400000000000002E-2</v>
      </c>
      <c r="P362" s="16">
        <v>0.13070000000000001</v>
      </c>
      <c r="Q362" s="16">
        <v>0.13070000000000001</v>
      </c>
      <c r="R362" s="16">
        <v>0.13070000000000001</v>
      </c>
      <c r="S362" s="16">
        <f t="shared" si="10"/>
        <v>0.13070000000000001</v>
      </c>
      <c r="T362" s="18">
        <v>0.89470517448856801</v>
      </c>
      <c r="U362" s="1">
        <v>0</v>
      </c>
      <c r="V362" s="1">
        <f t="shared" si="11"/>
        <v>0</v>
      </c>
      <c r="W362" s="25"/>
      <c r="X362">
        <v>3.3799999999999997E-2</v>
      </c>
      <c r="Y362" s="1">
        <v>6.6E-3</v>
      </c>
      <c r="Z362" s="1">
        <v>6.6E-3</v>
      </c>
      <c r="AA362" s="1">
        <v>7156</v>
      </c>
      <c r="AB362" s="1">
        <v>59</v>
      </c>
      <c r="AC362" s="29">
        <v>1783</v>
      </c>
    </row>
    <row r="363" spans="1:29">
      <c r="A363" s="12">
        <v>19</v>
      </c>
      <c r="B363" s="12" t="s">
        <v>397</v>
      </c>
      <c r="C363" s="12">
        <v>19001</v>
      </c>
      <c r="D363" s="12" t="s">
        <v>419</v>
      </c>
      <c r="E363" s="17">
        <v>0.57765289525996999</v>
      </c>
      <c r="F363" s="17">
        <v>0.42233836037285982</v>
      </c>
      <c r="G363" s="13">
        <v>1.0001953290127721</v>
      </c>
      <c r="H363" s="13">
        <v>1.3677396201413428</v>
      </c>
      <c r="I363" s="14">
        <v>12.745716020328045</v>
      </c>
      <c r="J363" s="16">
        <v>1.0679000000000001</v>
      </c>
      <c r="K363" s="16">
        <v>1.0667</v>
      </c>
      <c r="L363" s="13">
        <v>0.67279999999999995</v>
      </c>
      <c r="M363" s="13">
        <v>3.3799999999999997E-2</v>
      </c>
      <c r="N363" s="13">
        <v>7.0599999999999996E-2</v>
      </c>
      <c r="O363" s="13">
        <v>4.6399999999999997E-2</v>
      </c>
      <c r="P363" s="16">
        <v>0.76900000000000002</v>
      </c>
      <c r="Q363" s="16">
        <v>0.73290000000000011</v>
      </c>
      <c r="R363" s="16"/>
      <c r="S363" s="16">
        <f t="shared" si="10"/>
        <v>0.50063333333333337</v>
      </c>
      <c r="T363" s="18">
        <v>1</v>
      </c>
      <c r="U363" s="1">
        <v>5.2724077329999997</v>
      </c>
      <c r="V363" s="1">
        <f t="shared" si="11"/>
        <v>1.8361602893854041</v>
      </c>
      <c r="W363" s="25"/>
      <c r="X363">
        <v>0.1696</v>
      </c>
      <c r="Y363" s="1">
        <v>3.4422000000000001</v>
      </c>
      <c r="Z363" s="1">
        <v>1.4912000000000001</v>
      </c>
      <c r="AA363" s="1">
        <v>348444</v>
      </c>
      <c r="AB363" s="1">
        <v>2845</v>
      </c>
      <c r="AC363" s="29">
        <v>54824</v>
      </c>
    </row>
    <row r="364" spans="1:29">
      <c r="A364" s="12">
        <v>19</v>
      </c>
      <c r="B364" s="12" t="s">
        <v>397</v>
      </c>
      <c r="C364" s="12">
        <v>19022</v>
      </c>
      <c r="D364" s="12" t="s">
        <v>398</v>
      </c>
      <c r="E364" s="17">
        <v>0.95471718775666647</v>
      </c>
      <c r="F364" s="17">
        <v>4.5282812243333519E-2</v>
      </c>
      <c r="G364" s="13">
        <v>0.9295093648208469</v>
      </c>
      <c r="H364" s="13">
        <v>21.057971014492754</v>
      </c>
      <c r="I364" s="14">
        <v>9.8126871882096314</v>
      </c>
      <c r="J364" s="16">
        <v>0.57330000000000003</v>
      </c>
      <c r="K364" s="16">
        <v>0.57330000000000003</v>
      </c>
      <c r="L364" s="13">
        <v>0.30270000000000002</v>
      </c>
      <c r="M364" s="13">
        <v>2.24E-2</v>
      </c>
      <c r="N364" s="13">
        <v>5.3800000000000001E-2</v>
      </c>
      <c r="O364" s="13">
        <v>5.4300000000000001E-2</v>
      </c>
      <c r="P364" s="16">
        <v>0.90249999999999997</v>
      </c>
      <c r="Q364" s="16">
        <v>0.85939999999999994</v>
      </c>
      <c r="R364" s="16">
        <v>0.50390000000000001</v>
      </c>
      <c r="S364" s="16">
        <f t="shared" si="10"/>
        <v>0.75526666666666653</v>
      </c>
      <c r="T364" s="18">
        <v>0.60189101766608599</v>
      </c>
      <c r="U364" s="1">
        <v>9.4339622639999998</v>
      </c>
      <c r="V364" s="1">
        <f t="shared" si="11"/>
        <v>2.3450660879557463</v>
      </c>
      <c r="W364" s="25"/>
      <c r="X364">
        <v>1.37E-2</v>
      </c>
      <c r="Y364" s="1">
        <v>6.7100000000000007E-2</v>
      </c>
      <c r="Z364" s="1">
        <v>6.5000000000000002E-2</v>
      </c>
      <c r="AA364" s="1">
        <v>18432</v>
      </c>
      <c r="AB364" s="1">
        <v>106</v>
      </c>
      <c r="AC364" s="29">
        <v>3653</v>
      </c>
    </row>
    <row r="365" spans="1:29">
      <c r="A365" s="12">
        <v>19</v>
      </c>
      <c r="B365" s="12" t="s">
        <v>397</v>
      </c>
      <c r="C365" s="12">
        <v>19050</v>
      </c>
      <c r="D365" s="12" t="s">
        <v>26</v>
      </c>
      <c r="E365" s="17">
        <v>0.97429409978747095</v>
      </c>
      <c r="F365" s="17">
        <v>2.5705900212529095E-2</v>
      </c>
      <c r="G365" s="13">
        <v>1</v>
      </c>
      <c r="H365" s="13">
        <v>37.851900393184799</v>
      </c>
      <c r="I365" s="14">
        <v>10.29701502307125</v>
      </c>
      <c r="J365" s="16">
        <v>0.9264</v>
      </c>
      <c r="K365" s="16">
        <v>0.92600000000000005</v>
      </c>
      <c r="L365" s="13">
        <v>0.25950000000000001</v>
      </c>
      <c r="M365" s="13">
        <v>4.7699999999999999E-2</v>
      </c>
      <c r="N365" s="13">
        <v>8.6900000000000005E-2</v>
      </c>
      <c r="O365" s="13">
        <v>4.9799999999999997E-2</v>
      </c>
      <c r="P365" s="16">
        <v>0.81530000000000002</v>
      </c>
      <c r="Q365" s="16">
        <v>0.57669999999999999</v>
      </c>
      <c r="R365" s="16">
        <v>0.44369999999999998</v>
      </c>
      <c r="S365" s="16">
        <f t="shared" si="10"/>
        <v>0.6119</v>
      </c>
      <c r="T365" s="18">
        <v>0.89117423005767704</v>
      </c>
      <c r="U365" s="1">
        <v>11.583011580000001</v>
      </c>
      <c r="V365" s="1">
        <f t="shared" si="11"/>
        <v>2.5323476168986865</v>
      </c>
      <c r="W365" s="26"/>
      <c r="X365">
        <v>9.4999999999999998E-3</v>
      </c>
      <c r="Y365" s="1">
        <v>2.53E-2</v>
      </c>
      <c r="Z365" s="1">
        <v>2.5000000000000001E-2</v>
      </c>
      <c r="AA365" s="1">
        <v>27464</v>
      </c>
      <c r="AB365" s="1">
        <v>259</v>
      </c>
      <c r="AC365" s="29">
        <v>6049</v>
      </c>
    </row>
    <row r="366" spans="1:29">
      <c r="A366" s="12">
        <v>19</v>
      </c>
      <c r="B366" s="12" t="s">
        <v>397</v>
      </c>
      <c r="C366" s="12">
        <v>19075</v>
      </c>
      <c r="D366" s="12" t="s">
        <v>399</v>
      </c>
      <c r="E366" s="17">
        <v>0.97183758680925403</v>
      </c>
      <c r="F366" s="17">
        <v>2.8162413190746027E-2</v>
      </c>
      <c r="G366" s="13">
        <v>1</v>
      </c>
      <c r="H366" s="13">
        <v>34.456193353474319</v>
      </c>
      <c r="I366" s="14">
        <v>10.063563500382763</v>
      </c>
      <c r="J366" s="16">
        <v>0.76729999999999998</v>
      </c>
      <c r="K366" s="16">
        <v>0.76729999999999998</v>
      </c>
      <c r="L366" s="13">
        <v>0.26600000000000001</v>
      </c>
      <c r="M366" s="13">
        <v>5.2900000000000003E-2</v>
      </c>
      <c r="N366" s="13">
        <v>0.1002</v>
      </c>
      <c r="O366" s="13">
        <v>6.0499999999999998E-2</v>
      </c>
      <c r="P366" s="16">
        <v>0.73430000000000006</v>
      </c>
      <c r="Q366" s="16">
        <v>0.51590000000000003</v>
      </c>
      <c r="R366" s="16">
        <v>0.35780000000000001</v>
      </c>
      <c r="S366" s="16">
        <f t="shared" si="10"/>
        <v>0.53600000000000003</v>
      </c>
      <c r="T366" s="18">
        <v>0.62775083923908903</v>
      </c>
      <c r="U366" s="1">
        <v>16.304347830000001</v>
      </c>
      <c r="V366" s="1">
        <f t="shared" si="11"/>
        <v>2.8509577895814187</v>
      </c>
      <c r="W366" s="25"/>
      <c r="X366">
        <v>9.9000000000000008E-3</v>
      </c>
      <c r="Y366" s="1">
        <v>4.9399999999999999E-2</v>
      </c>
      <c r="Z366" s="1">
        <v>4.82E-2</v>
      </c>
      <c r="AA366" s="1">
        <v>22220</v>
      </c>
      <c r="AB366" s="1">
        <v>184</v>
      </c>
      <c r="AC366" s="29">
        <v>4642</v>
      </c>
    </row>
    <row r="367" spans="1:29">
      <c r="A367" s="12">
        <v>19</v>
      </c>
      <c r="B367" s="12" t="s">
        <v>397</v>
      </c>
      <c r="C367" s="12">
        <v>19100</v>
      </c>
      <c r="D367" s="12" t="s">
        <v>169</v>
      </c>
      <c r="E367" s="17">
        <v>0.94879664815356135</v>
      </c>
      <c r="F367" s="17">
        <v>5.1203351846438663E-2</v>
      </c>
      <c r="G367" s="13">
        <v>1</v>
      </c>
      <c r="H367" s="13">
        <v>18.521160247265811</v>
      </c>
      <c r="I367" s="14">
        <v>10.622619193818039</v>
      </c>
      <c r="J367" s="16">
        <v>0.74460000000000004</v>
      </c>
      <c r="K367" s="16">
        <v>0.74460000000000004</v>
      </c>
      <c r="L367" s="13">
        <v>0.42699999999999999</v>
      </c>
      <c r="M367" s="13">
        <v>2.35E-2</v>
      </c>
      <c r="N367" s="13">
        <v>4.1099999999999998E-2</v>
      </c>
      <c r="O367" s="13">
        <v>3.56E-2</v>
      </c>
      <c r="P367" s="16">
        <v>5.1799999999999999E-2</v>
      </c>
      <c r="Q367" s="16">
        <v>5.28E-2</v>
      </c>
      <c r="R367" s="16">
        <v>5.2499999999999998E-2</v>
      </c>
      <c r="S367" s="16">
        <f t="shared" si="10"/>
        <v>5.2366666666666666E-2</v>
      </c>
      <c r="T367" s="18">
        <v>0.777031904143207</v>
      </c>
      <c r="U367" s="1">
        <v>10.81081081</v>
      </c>
      <c r="V367" s="1">
        <f t="shared" si="11"/>
        <v>2.4690152823827156</v>
      </c>
      <c r="W367" s="26"/>
      <c r="X367">
        <v>1.9699999999999999E-2</v>
      </c>
      <c r="Y367" s="1">
        <v>6.0999999999999999E-2</v>
      </c>
      <c r="Z367" s="1">
        <v>5.9200000000000003E-2</v>
      </c>
      <c r="AA367" s="1">
        <v>38005</v>
      </c>
      <c r="AB367" s="1">
        <v>185</v>
      </c>
      <c r="AC367" s="29">
        <v>6912</v>
      </c>
    </row>
    <row r="368" spans="1:29">
      <c r="A368" s="12">
        <v>19</v>
      </c>
      <c r="B368" s="12" t="s">
        <v>397</v>
      </c>
      <c r="C368" s="12">
        <v>19110</v>
      </c>
      <c r="D368" s="12" t="s">
        <v>400</v>
      </c>
      <c r="E368" s="17">
        <v>0.94536747098913243</v>
      </c>
      <c r="F368" s="17">
        <v>5.4632529010867563E-2</v>
      </c>
      <c r="G368" s="13">
        <v>0.76059850374064841</v>
      </c>
      <c r="H368" s="13">
        <v>17.29245283018868</v>
      </c>
      <c r="I368" s="14">
        <v>10.20898498485791</v>
      </c>
      <c r="J368" s="16">
        <v>0.65349999999999997</v>
      </c>
      <c r="K368" s="16">
        <v>0.65349999999999997</v>
      </c>
      <c r="L368" s="13">
        <v>0.26879999999999998</v>
      </c>
      <c r="M368" s="13">
        <v>1.8800000000000001E-2</v>
      </c>
      <c r="N368" s="13">
        <v>8.48E-2</v>
      </c>
      <c r="O368" s="13">
        <v>3.7499999999999999E-2</v>
      </c>
      <c r="P368" s="16">
        <v>0.61399999999999999</v>
      </c>
      <c r="Q368" s="16">
        <v>0.18410000000000001</v>
      </c>
      <c r="R368" s="16">
        <v>0.1489</v>
      </c>
      <c r="S368" s="16">
        <f t="shared" si="10"/>
        <v>0.31566666666666671</v>
      </c>
      <c r="T368" s="18">
        <v>0.65278148642634604</v>
      </c>
      <c r="U368" s="1">
        <v>4.7393364929999997</v>
      </c>
      <c r="V368" s="1">
        <f t="shared" si="11"/>
        <v>1.7473436100960182</v>
      </c>
      <c r="W368" s="25"/>
      <c r="X368">
        <v>1.54E-2</v>
      </c>
      <c r="Y368" s="1">
        <v>6.8400000000000002E-2</v>
      </c>
      <c r="Z368" s="1">
        <v>6.6199999999999995E-2</v>
      </c>
      <c r="AA368" s="1">
        <v>33003</v>
      </c>
      <c r="AB368" s="1">
        <v>211</v>
      </c>
      <c r="AC368" s="29">
        <v>7157</v>
      </c>
    </row>
    <row r="369" spans="1:29">
      <c r="A369" s="12">
        <v>19</v>
      </c>
      <c r="B369" s="12" t="s">
        <v>397</v>
      </c>
      <c r="C369" s="12">
        <v>19130</v>
      </c>
      <c r="D369" s="12" t="s">
        <v>401</v>
      </c>
      <c r="E369" s="17">
        <v>0.95918367346938771</v>
      </c>
      <c r="F369" s="17">
        <v>4.0816326530612242E-2</v>
      </c>
      <c r="G369" s="13">
        <v>0.83156000799662366</v>
      </c>
      <c r="H369" s="13">
        <v>23.484630477436234</v>
      </c>
      <c r="I369" s="14">
        <v>10.530414799175965</v>
      </c>
      <c r="J369" s="16">
        <v>0.71619999999999995</v>
      </c>
      <c r="K369" s="16">
        <v>0.71609999999999996</v>
      </c>
      <c r="L369" s="13">
        <v>0.30940000000000001</v>
      </c>
      <c r="M369" s="13">
        <v>0.03</v>
      </c>
      <c r="N369" s="13">
        <v>7.6100000000000001E-2</v>
      </c>
      <c r="O369" s="13">
        <v>5.7000000000000002E-2</v>
      </c>
      <c r="P369" s="16">
        <v>0.41899999999999998</v>
      </c>
      <c r="Q369" s="16">
        <v>5.2999999999999999E-2</v>
      </c>
      <c r="R369" s="16">
        <v>3.6900000000000002E-2</v>
      </c>
      <c r="S369" s="16">
        <f t="shared" si="10"/>
        <v>0.16963333333333333</v>
      </c>
      <c r="T369" s="18">
        <v>0.78362816510579192</v>
      </c>
      <c r="U369" s="1">
        <v>3.1152647980000001</v>
      </c>
      <c r="V369" s="1">
        <f t="shared" si="11"/>
        <v>1.4147031815119158</v>
      </c>
      <c r="W369" s="26"/>
      <c r="X369">
        <v>2.35E-2</v>
      </c>
      <c r="Y369" s="1">
        <v>0.1313</v>
      </c>
      <c r="Z369" s="1">
        <v>0.1234</v>
      </c>
      <c r="AA369" s="1">
        <v>45786</v>
      </c>
      <c r="AB369" s="1">
        <v>321</v>
      </c>
      <c r="AC369" s="29">
        <v>10390</v>
      </c>
    </row>
    <row r="370" spans="1:29">
      <c r="A370" s="12">
        <v>19</v>
      </c>
      <c r="B370" s="12" t="s">
        <v>397</v>
      </c>
      <c r="C370" s="12">
        <v>19137</v>
      </c>
      <c r="D370" s="12" t="s">
        <v>402</v>
      </c>
      <c r="E370" s="17">
        <v>0.94505230251292538</v>
      </c>
      <c r="F370" s="17">
        <v>5.4947697487074669E-2</v>
      </c>
      <c r="G370" s="13">
        <v>0.96208125115676479</v>
      </c>
      <c r="H370" s="13">
        <v>17.191601049868765</v>
      </c>
      <c r="I370" s="14">
        <v>10.63551885114604</v>
      </c>
      <c r="J370" s="16">
        <v>0.9153</v>
      </c>
      <c r="K370" s="16">
        <v>0.91520000000000001</v>
      </c>
      <c r="L370" s="13">
        <v>0.37159999999999999</v>
      </c>
      <c r="M370" s="13">
        <v>2.18E-2</v>
      </c>
      <c r="N370" s="13">
        <v>0.1168</v>
      </c>
      <c r="O370" s="13">
        <v>9.0200000000000002E-2</v>
      </c>
      <c r="P370" s="16">
        <v>0.88120000000000009</v>
      </c>
      <c r="Q370" s="16">
        <v>9.35E-2</v>
      </c>
      <c r="R370" s="16">
        <v>9.35E-2</v>
      </c>
      <c r="S370" s="16">
        <f t="shared" si="10"/>
        <v>0.3560666666666667</v>
      </c>
      <c r="T370" s="18">
        <v>0.79308109859839504</v>
      </c>
      <c r="U370" s="1">
        <v>11.09057301</v>
      </c>
      <c r="V370" s="1">
        <f t="shared" si="11"/>
        <v>2.4924260588716489</v>
      </c>
      <c r="W370" s="25"/>
      <c r="X370">
        <v>1.66E-2</v>
      </c>
      <c r="Y370" s="1">
        <v>0.113</v>
      </c>
      <c r="Z370" s="1">
        <v>0.107</v>
      </c>
      <c r="AA370" s="1">
        <v>43991</v>
      </c>
      <c r="AB370" s="1">
        <v>541</v>
      </c>
      <c r="AC370" s="29">
        <v>10712</v>
      </c>
    </row>
    <row r="371" spans="1:29">
      <c r="A371" s="12">
        <v>19</v>
      </c>
      <c r="B371" s="12" t="s">
        <v>397</v>
      </c>
      <c r="C371" s="12">
        <v>19142</v>
      </c>
      <c r="D371" s="12" t="s">
        <v>403</v>
      </c>
      <c r="E371" s="17">
        <v>0.83902785449380568</v>
      </c>
      <c r="F371" s="17">
        <v>0.16097214550619426</v>
      </c>
      <c r="G371" s="13">
        <v>0.8033088235294118</v>
      </c>
      <c r="H371" s="13">
        <v>5.2109777015437393</v>
      </c>
      <c r="I371" s="14">
        <v>10.140415658820954</v>
      </c>
      <c r="J371" s="16">
        <v>0.87660000000000005</v>
      </c>
      <c r="K371" s="16">
        <v>0.87660000000000005</v>
      </c>
      <c r="L371" s="13">
        <v>0.50890000000000002</v>
      </c>
      <c r="M371" s="13">
        <v>2.7400000000000001E-2</v>
      </c>
      <c r="N371" s="13">
        <v>8.5300000000000001E-2</v>
      </c>
      <c r="O371" s="13">
        <v>6.6900000000000001E-2</v>
      </c>
      <c r="P371" s="16">
        <v>0.77870000000000006</v>
      </c>
      <c r="Q371" s="16">
        <v>0.36219999999999997</v>
      </c>
      <c r="R371" s="16">
        <v>0.23569999999999999</v>
      </c>
      <c r="S371" s="16">
        <f t="shared" si="10"/>
        <v>0.4588666666666667</v>
      </c>
      <c r="T371" s="18">
        <v>0.93499881600757706</v>
      </c>
      <c r="U371" s="1">
        <v>8.2644628099999995</v>
      </c>
      <c r="V371" s="1">
        <f t="shared" si="11"/>
        <v>2.2261858774843395</v>
      </c>
      <c r="W371" s="26"/>
      <c r="X371">
        <v>0.39889999999999998</v>
      </c>
      <c r="Y371" s="1">
        <v>1.1897</v>
      </c>
      <c r="Z371" s="1">
        <v>0.78380000000000005</v>
      </c>
      <c r="AA371" s="1">
        <v>31061</v>
      </c>
      <c r="AB371" s="1">
        <v>242</v>
      </c>
      <c r="AC371" s="29">
        <v>6367</v>
      </c>
    </row>
    <row r="372" spans="1:29">
      <c r="A372" s="12">
        <v>19</v>
      </c>
      <c r="B372" s="12" t="s">
        <v>397</v>
      </c>
      <c r="C372" s="12">
        <v>19212</v>
      </c>
      <c r="D372" s="12" t="s">
        <v>404</v>
      </c>
      <c r="E372" s="17">
        <v>0.8596908044438496</v>
      </c>
      <c r="F372" s="17">
        <v>0.14030919555615046</v>
      </c>
      <c r="G372" s="13">
        <v>1</v>
      </c>
      <c r="H372" s="13">
        <v>6.1256556986170718</v>
      </c>
      <c r="I372" s="14">
        <v>10.305111961258355</v>
      </c>
      <c r="J372" s="16">
        <v>0.88319999999999999</v>
      </c>
      <c r="K372" s="16">
        <v>0.88319999999999999</v>
      </c>
      <c r="L372" s="13">
        <v>0.44669999999999999</v>
      </c>
      <c r="M372" s="13">
        <v>3.2000000000000001E-2</v>
      </c>
      <c r="N372" s="13">
        <v>4.65E-2</v>
      </c>
      <c r="O372" s="13">
        <v>3.8600000000000002E-2</v>
      </c>
      <c r="P372" s="16">
        <v>0.58979999999999999</v>
      </c>
      <c r="Q372" s="16">
        <v>0.57210000000000005</v>
      </c>
      <c r="R372" s="16">
        <v>0.61480000000000001</v>
      </c>
      <c r="S372" s="16">
        <f t="shared" si="10"/>
        <v>0.59223333333333339</v>
      </c>
      <c r="T372" s="18">
        <v>1</v>
      </c>
      <c r="U372" s="1">
        <v>4.4247787609999998</v>
      </c>
      <c r="V372" s="1">
        <f t="shared" si="11"/>
        <v>1.6909771172124515</v>
      </c>
      <c r="W372" s="25"/>
      <c r="X372">
        <v>1.04E-2</v>
      </c>
      <c r="Y372" s="1">
        <v>0.84340000000000004</v>
      </c>
      <c r="Z372" s="1">
        <v>0.61160000000000003</v>
      </c>
      <c r="AA372" s="1">
        <v>27157</v>
      </c>
      <c r="AB372" s="1">
        <v>226</v>
      </c>
      <c r="AC372" s="29">
        <v>5426</v>
      </c>
    </row>
    <row r="373" spans="1:29">
      <c r="A373" s="12">
        <v>19</v>
      </c>
      <c r="B373" s="12" t="s">
        <v>397</v>
      </c>
      <c r="C373" s="12">
        <v>19256</v>
      </c>
      <c r="D373" s="12" t="s">
        <v>405</v>
      </c>
      <c r="E373" s="17">
        <v>0.95334194381659676</v>
      </c>
      <c r="F373" s="17">
        <v>4.6658056183403296E-2</v>
      </c>
      <c r="G373" s="13">
        <v>0.85817703191839423</v>
      </c>
      <c r="H373" s="13">
        <v>20.423692174664936</v>
      </c>
      <c r="I373" s="14">
        <v>10.810798082829503</v>
      </c>
      <c r="J373" s="16">
        <v>0.77890000000000004</v>
      </c>
      <c r="K373" s="16">
        <v>0.77890000000000004</v>
      </c>
      <c r="L373" s="13">
        <v>0.36780000000000002</v>
      </c>
      <c r="M373" s="13">
        <v>4.7600000000000003E-2</v>
      </c>
      <c r="N373" s="13">
        <v>7.9000000000000001E-2</v>
      </c>
      <c r="O373" s="13">
        <v>3.95E-2</v>
      </c>
      <c r="P373" s="16">
        <v>0.8911</v>
      </c>
      <c r="Q373" s="16">
        <v>0.15579999999999999</v>
      </c>
      <c r="R373" s="16">
        <v>8.3900000000000002E-2</v>
      </c>
      <c r="S373" s="16">
        <f t="shared" si="10"/>
        <v>0.37693333333333334</v>
      </c>
      <c r="T373" s="18">
        <v>0.75239732223629407</v>
      </c>
      <c r="U373" s="1">
        <v>2.6385224269999998</v>
      </c>
      <c r="V373" s="1">
        <f t="shared" si="11"/>
        <v>1.2915776725897732</v>
      </c>
      <c r="W373" s="26"/>
      <c r="X373">
        <v>1.06E-2</v>
      </c>
      <c r="Y373" s="1">
        <v>2.6700000000000002E-2</v>
      </c>
      <c r="Z373" s="1">
        <v>2.63E-2</v>
      </c>
      <c r="AA373" s="1">
        <v>57546</v>
      </c>
      <c r="AB373" s="1">
        <v>379</v>
      </c>
      <c r="AC373" s="29">
        <v>12229</v>
      </c>
    </row>
    <row r="374" spans="1:29">
      <c r="A374" s="12">
        <v>19</v>
      </c>
      <c r="B374" s="12" t="s">
        <v>397</v>
      </c>
      <c r="C374" s="12">
        <v>19290</v>
      </c>
      <c r="D374" s="12" t="s">
        <v>370</v>
      </c>
      <c r="E374" s="17">
        <v>0.96104498376874326</v>
      </c>
      <c r="F374" s="17">
        <v>3.8955016231256766E-2</v>
      </c>
      <c r="G374" s="13">
        <v>1</v>
      </c>
      <c r="H374" s="13">
        <v>24.573122529644269</v>
      </c>
      <c r="I374" s="14">
        <v>8.7749313874949468</v>
      </c>
      <c r="J374" s="16">
        <v>0.87380000000000002</v>
      </c>
      <c r="K374" s="16">
        <v>0.87380000000000002</v>
      </c>
      <c r="L374" s="13">
        <v>0.45029999999999998</v>
      </c>
      <c r="M374" s="13">
        <v>5.67E-2</v>
      </c>
      <c r="N374" s="13">
        <v>9.5200000000000007E-2</v>
      </c>
      <c r="O374" s="13">
        <v>5.7799999999999997E-2</v>
      </c>
      <c r="P374" s="16">
        <v>0.9587</v>
      </c>
      <c r="Q374" s="16">
        <v>0.55359999999999998</v>
      </c>
      <c r="R374" s="16">
        <v>0.55359999999999998</v>
      </c>
      <c r="S374" s="16">
        <f t="shared" si="10"/>
        <v>0.68863333333333332</v>
      </c>
      <c r="T374" s="18">
        <v>0.71930835734870302</v>
      </c>
      <c r="U374" s="1">
        <v>19.60784314</v>
      </c>
      <c r="V374" s="1">
        <f t="shared" si="11"/>
        <v>3.025671738285832</v>
      </c>
      <c r="W374" s="25"/>
      <c r="X374">
        <v>2.3699999999999999E-2</v>
      </c>
      <c r="Y374" s="1">
        <v>0.17180000000000001</v>
      </c>
      <c r="Z374" s="1">
        <v>0.1585</v>
      </c>
      <c r="AA374" s="1">
        <v>5213</v>
      </c>
      <c r="AB374" s="1">
        <v>51</v>
      </c>
      <c r="AC374" s="29">
        <v>996</v>
      </c>
    </row>
    <row r="375" spans="1:29">
      <c r="A375" s="12">
        <v>19</v>
      </c>
      <c r="B375" s="12" t="s">
        <v>397</v>
      </c>
      <c r="C375" s="12">
        <v>19300</v>
      </c>
      <c r="D375" s="12" t="s">
        <v>406</v>
      </c>
      <c r="E375" s="17">
        <v>0.64548762736535659</v>
      </c>
      <c r="F375" s="17">
        <v>0.35451237263464336</v>
      </c>
      <c r="G375" s="13">
        <v>0.66718461687870256</v>
      </c>
      <c r="H375" s="13">
        <v>1.8204022988505748</v>
      </c>
      <c r="I375" s="14">
        <v>9.5281393433317749</v>
      </c>
      <c r="J375" s="16">
        <v>0.73040000000000005</v>
      </c>
      <c r="K375" s="16">
        <v>0.73040000000000005</v>
      </c>
      <c r="L375" s="13">
        <v>0.35260000000000002</v>
      </c>
      <c r="M375" s="13">
        <v>1.7000000000000001E-2</v>
      </c>
      <c r="N375" s="13">
        <v>8.8800000000000004E-2</v>
      </c>
      <c r="O375" s="13">
        <v>3.04E-2</v>
      </c>
      <c r="P375" s="16">
        <v>0.92900000000000005</v>
      </c>
      <c r="Q375" s="16">
        <v>0.25890000000000002</v>
      </c>
      <c r="R375" s="16">
        <v>0.61119999999999997</v>
      </c>
      <c r="S375" s="16">
        <f t="shared" si="10"/>
        <v>0.59970000000000001</v>
      </c>
      <c r="T375" s="18">
        <v>0.84609250398724001</v>
      </c>
      <c r="U375" s="1">
        <v>10.58201058</v>
      </c>
      <c r="V375" s="1">
        <f t="shared" si="11"/>
        <v>2.4494530822896254</v>
      </c>
      <c r="W375" s="26"/>
      <c r="X375">
        <v>0.65129999999999999</v>
      </c>
      <c r="Y375" s="1">
        <v>1.9081999999999999</v>
      </c>
      <c r="Z375" s="1">
        <v>1.0674999999999999</v>
      </c>
      <c r="AA375" s="1">
        <v>20320</v>
      </c>
      <c r="AB375" s="1">
        <v>189</v>
      </c>
      <c r="AC375" s="29">
        <v>3970</v>
      </c>
    </row>
    <row r="376" spans="1:29">
      <c r="A376" s="12">
        <v>19</v>
      </c>
      <c r="B376" s="12" t="s">
        <v>397</v>
      </c>
      <c r="C376" s="12">
        <v>19318</v>
      </c>
      <c r="D376" s="12" t="s">
        <v>407</v>
      </c>
      <c r="E376" s="17">
        <v>0.89724925293080993</v>
      </c>
      <c r="F376" s="17">
        <v>0.1027507470691901</v>
      </c>
      <c r="G376" s="13">
        <v>0.8836154366960054</v>
      </c>
      <c r="H376" s="13">
        <v>8.7290346626910171</v>
      </c>
      <c r="I376" s="14">
        <v>10.169805529234134</v>
      </c>
      <c r="J376" s="16">
        <v>0.74370000000000003</v>
      </c>
      <c r="K376" s="16">
        <v>0.74370000000000003</v>
      </c>
      <c r="L376" s="13">
        <v>0.19289999999999999</v>
      </c>
      <c r="M376" s="13">
        <v>1.9300000000000001E-2</v>
      </c>
      <c r="N376" s="13">
        <v>0.1479</v>
      </c>
      <c r="O376" s="13">
        <v>2.1600000000000001E-2</v>
      </c>
      <c r="P376" s="16">
        <v>0.32979999999999998</v>
      </c>
      <c r="Q376" s="16">
        <v>0.22500000000000001</v>
      </c>
      <c r="R376" s="16">
        <v>0.61950000000000005</v>
      </c>
      <c r="S376" s="16">
        <f t="shared" si="10"/>
        <v>0.39143333333333336</v>
      </c>
      <c r="T376" s="18">
        <v>0.83914774057597696</v>
      </c>
      <c r="U376" s="1">
        <v>21.621621619999999</v>
      </c>
      <c r="V376" s="1">
        <f t="shared" si="11"/>
        <v>3.1189061577735662</v>
      </c>
      <c r="W376" s="25"/>
      <c r="X376">
        <v>1.67E-2</v>
      </c>
      <c r="Y376" s="1">
        <v>6.4000000000000003E-3</v>
      </c>
      <c r="Z376" s="1">
        <v>6.4000000000000003E-3</v>
      </c>
      <c r="AA376" s="1">
        <v>29275</v>
      </c>
      <c r="AB376" s="1">
        <v>185</v>
      </c>
      <c r="AC376" s="29">
        <v>8037</v>
      </c>
    </row>
    <row r="377" spans="1:29">
      <c r="A377" s="12">
        <v>19</v>
      </c>
      <c r="B377" s="12" t="s">
        <v>397</v>
      </c>
      <c r="C377" s="12">
        <v>19355</v>
      </c>
      <c r="D377" s="12" t="s">
        <v>408</v>
      </c>
      <c r="E377" s="17">
        <v>0.93994035171917312</v>
      </c>
      <c r="F377" s="17">
        <v>6.0059648280826848E-2</v>
      </c>
      <c r="G377" s="13">
        <v>0.93806476508988001</v>
      </c>
      <c r="H377" s="13">
        <v>15.641186537364518</v>
      </c>
      <c r="I377" s="14">
        <v>10.280964624104124</v>
      </c>
      <c r="J377" s="16">
        <v>0.86860000000000004</v>
      </c>
      <c r="K377" s="16">
        <v>0.86860000000000004</v>
      </c>
      <c r="L377" s="13">
        <v>0.40649999999999997</v>
      </c>
      <c r="M377" s="13">
        <v>2.2700000000000001E-2</v>
      </c>
      <c r="N377" s="13">
        <v>0.1187</v>
      </c>
      <c r="O377" s="13">
        <v>7.9399999999999998E-2</v>
      </c>
      <c r="P377" s="16">
        <v>0.18820000000000001</v>
      </c>
      <c r="Q377" s="16">
        <v>5.6900000000000006E-2</v>
      </c>
      <c r="R377" s="16">
        <v>0.14119999999999999</v>
      </c>
      <c r="S377" s="16">
        <f t="shared" si="10"/>
        <v>0.12876666666666667</v>
      </c>
      <c r="T377" s="18">
        <v>0.93133000650900399</v>
      </c>
      <c r="U377" s="1">
        <v>9.0909090910000003</v>
      </c>
      <c r="V377" s="1">
        <f t="shared" si="11"/>
        <v>2.3116349285229725</v>
      </c>
      <c r="W377" s="26"/>
      <c r="X377">
        <v>2.8500000000000001E-2</v>
      </c>
      <c r="Y377" s="1">
        <v>1.32E-2</v>
      </c>
      <c r="Z377" s="1">
        <v>1.32E-2</v>
      </c>
      <c r="AA377" s="1">
        <v>29139</v>
      </c>
      <c r="AB377" s="1">
        <v>330</v>
      </c>
      <c r="AC377" s="29">
        <v>6953</v>
      </c>
    </row>
    <row r="378" spans="1:29">
      <c r="A378" s="12">
        <v>19</v>
      </c>
      <c r="B378" s="12" t="s">
        <v>397</v>
      </c>
      <c r="C378" s="12">
        <v>19364</v>
      </c>
      <c r="D378" s="12" t="s">
        <v>409</v>
      </c>
      <c r="E378" s="17">
        <v>0.93728466838931956</v>
      </c>
      <c r="F378" s="17">
        <v>6.271533161068045E-2</v>
      </c>
      <c r="G378" s="13">
        <v>0.96263667927657148</v>
      </c>
      <c r="H378" s="13">
        <v>14.932246998284734</v>
      </c>
      <c r="I378" s="14">
        <v>9.8296795353914046</v>
      </c>
      <c r="J378" s="16">
        <v>0.73250000000000004</v>
      </c>
      <c r="K378" s="16">
        <v>0.73250000000000004</v>
      </c>
      <c r="L378" s="13">
        <v>0.42</v>
      </c>
      <c r="M378" s="13">
        <v>2.4E-2</v>
      </c>
      <c r="N378" s="13">
        <v>6.1800000000000001E-2</v>
      </c>
      <c r="O378" s="13">
        <v>4.8099999999999997E-2</v>
      </c>
      <c r="P378" s="16">
        <v>0.47609999999999997</v>
      </c>
      <c r="Q378" s="16">
        <v>0.47609999999999997</v>
      </c>
      <c r="R378" s="16">
        <v>0.47609999999999997</v>
      </c>
      <c r="S378" s="16">
        <f t="shared" si="10"/>
        <v>0.47609999999999997</v>
      </c>
      <c r="T378" s="18">
        <v>0.81205915813424301</v>
      </c>
      <c r="U378" s="1">
        <v>5.9523809520000004</v>
      </c>
      <c r="V378" s="1">
        <f t="shared" si="11"/>
        <v>1.9390841839301189</v>
      </c>
      <c r="W378" s="25"/>
      <c r="X378">
        <v>8.5000000000000006E-3</v>
      </c>
      <c r="Y378" s="1">
        <v>0.26290000000000002</v>
      </c>
      <c r="Z378" s="1">
        <v>0.2334</v>
      </c>
      <c r="AA378" s="1">
        <v>19163</v>
      </c>
      <c r="AB378" s="1">
        <v>168</v>
      </c>
      <c r="AC378" s="29">
        <v>4596</v>
      </c>
    </row>
    <row r="379" spans="1:29">
      <c r="A379" s="12">
        <v>19</v>
      </c>
      <c r="B379" s="12" t="s">
        <v>397</v>
      </c>
      <c r="C379" s="12">
        <v>19392</v>
      </c>
      <c r="D379" s="12" t="s">
        <v>410</v>
      </c>
      <c r="E379" s="17">
        <v>0.94096314413426663</v>
      </c>
      <c r="F379" s="17">
        <v>5.9036855865733324E-2</v>
      </c>
      <c r="G379" s="13">
        <v>1</v>
      </c>
      <c r="H379" s="13">
        <v>15.91583452211127</v>
      </c>
      <c r="I379" s="14">
        <v>9.3807580242673136</v>
      </c>
      <c r="J379" s="16">
        <v>0.80869999999999997</v>
      </c>
      <c r="K379" s="16">
        <v>0.80869999999999997</v>
      </c>
      <c r="L379" s="13">
        <v>0.43490000000000001</v>
      </c>
      <c r="M379" s="13">
        <v>1.77E-2</v>
      </c>
      <c r="N379" s="13">
        <v>7.6999999999999999E-2</v>
      </c>
      <c r="O379" s="13">
        <v>3.7900000000000003E-2</v>
      </c>
      <c r="P379" s="16">
        <v>0.49130000000000001</v>
      </c>
      <c r="Q379" s="16">
        <v>0.14460000000000001</v>
      </c>
      <c r="R379" s="16">
        <v>0.14319999999999999</v>
      </c>
      <c r="S379" s="16">
        <f t="shared" si="10"/>
        <v>0.25969999999999999</v>
      </c>
      <c r="T379" s="18">
        <v>1</v>
      </c>
      <c r="U379" s="1">
        <v>17.85714286</v>
      </c>
      <c r="V379" s="1">
        <f t="shared" si="11"/>
        <v>2.9368917736825728</v>
      </c>
      <c r="W379" s="26"/>
      <c r="X379">
        <v>2.7300000000000001E-2</v>
      </c>
      <c r="Y379" s="1">
        <v>6.9199999999999998E-2</v>
      </c>
      <c r="Z379" s="1">
        <v>6.6900000000000001E-2</v>
      </c>
      <c r="AA379" s="1">
        <v>11305</v>
      </c>
      <c r="AB379" s="1">
        <v>56</v>
      </c>
      <c r="AC379" s="29">
        <v>2105</v>
      </c>
    </row>
    <row r="380" spans="1:29">
      <c r="A380" s="12">
        <v>19</v>
      </c>
      <c r="B380" s="12" t="s">
        <v>397</v>
      </c>
      <c r="C380" s="12">
        <v>19397</v>
      </c>
      <c r="D380" s="12" t="s">
        <v>411</v>
      </c>
      <c r="E380" s="17">
        <v>0.9411075872163942</v>
      </c>
      <c r="F380" s="17">
        <v>5.8892412783605755E-2</v>
      </c>
      <c r="G380" s="13">
        <v>0.77942574633960826</v>
      </c>
      <c r="H380" s="13">
        <v>15.966887417218542</v>
      </c>
      <c r="I380" s="14">
        <v>9.9279850241365146</v>
      </c>
      <c r="J380" s="16">
        <v>0.49669999999999997</v>
      </c>
      <c r="K380" s="16">
        <v>0.49669999999999997</v>
      </c>
      <c r="L380" s="13">
        <v>0.24779999999999999</v>
      </c>
      <c r="M380" s="13">
        <v>4.1399999999999999E-2</v>
      </c>
      <c r="N380" s="13">
        <v>0.1061</v>
      </c>
      <c r="O380" s="13">
        <v>5.5100000000000003E-2</v>
      </c>
      <c r="P380" s="16">
        <v>0.58310000000000006</v>
      </c>
      <c r="Q380" s="16">
        <v>0.20250000000000001</v>
      </c>
      <c r="R380" s="16">
        <v>4.82E-2</v>
      </c>
      <c r="S380" s="16">
        <f t="shared" si="10"/>
        <v>0.27793333333333337</v>
      </c>
      <c r="T380" s="18">
        <v>0.69061224489795903</v>
      </c>
      <c r="U380" s="1">
        <v>0</v>
      </c>
      <c r="V380" s="1">
        <f t="shared" si="11"/>
        <v>0</v>
      </c>
      <c r="W380" s="25"/>
      <c r="X380">
        <v>1.6400000000000001E-2</v>
      </c>
      <c r="Y380" s="1">
        <v>2.52E-2</v>
      </c>
      <c r="Z380" s="1">
        <v>2.4899999999999999E-2</v>
      </c>
      <c r="AA380" s="1">
        <v>24423</v>
      </c>
      <c r="AB380" s="1">
        <v>103</v>
      </c>
      <c r="AC380" s="29">
        <v>4731</v>
      </c>
    </row>
    <row r="381" spans="1:29">
      <c r="A381" s="12">
        <v>19</v>
      </c>
      <c r="B381" s="12" t="s">
        <v>397</v>
      </c>
      <c r="C381" s="12">
        <v>19418</v>
      </c>
      <c r="D381" s="12" t="s">
        <v>412</v>
      </c>
      <c r="E381" s="17">
        <v>0.96373395227388114</v>
      </c>
      <c r="F381" s="17">
        <v>3.6266047726118807E-2</v>
      </c>
      <c r="G381" s="13">
        <v>0.69080068143100515</v>
      </c>
      <c r="H381" s="13">
        <v>26.520958083832337</v>
      </c>
      <c r="I381" s="14">
        <v>9.5315539276367556</v>
      </c>
      <c r="J381" s="16">
        <v>0.83179999999999998</v>
      </c>
      <c r="K381" s="16">
        <v>0.83179999999999998</v>
      </c>
      <c r="L381" s="13">
        <v>0.22259999999999999</v>
      </c>
      <c r="M381" s="13">
        <v>3.4500000000000003E-2</v>
      </c>
      <c r="N381" s="13">
        <v>0.14849999999999999</v>
      </c>
      <c r="O381" s="13">
        <v>8.4599999999999995E-2</v>
      </c>
      <c r="P381" s="16">
        <v>0.86450000000000005</v>
      </c>
      <c r="Q381" s="16">
        <v>0.49790000000000001</v>
      </c>
      <c r="R381" s="16">
        <v>0.65180000000000005</v>
      </c>
      <c r="S381" s="16">
        <f t="shared" si="10"/>
        <v>0.67140000000000011</v>
      </c>
      <c r="T381" s="18">
        <v>1</v>
      </c>
      <c r="U381" s="1">
        <v>16.666666670000001</v>
      </c>
      <c r="V381" s="1">
        <f t="shared" si="11"/>
        <v>2.8716796250726913</v>
      </c>
      <c r="W381" s="26"/>
      <c r="X381">
        <v>2.3999999999999998E-3</v>
      </c>
      <c r="Y381" s="1">
        <v>0</v>
      </c>
      <c r="Z381" s="1">
        <v>0</v>
      </c>
      <c r="AA381" s="1">
        <v>19491</v>
      </c>
      <c r="AB381" s="1">
        <v>60</v>
      </c>
      <c r="AC381" s="29">
        <v>5826</v>
      </c>
    </row>
    <row r="382" spans="1:29">
      <c r="A382" s="12">
        <v>19</v>
      </c>
      <c r="B382" s="12" t="s">
        <v>397</v>
      </c>
      <c r="C382" s="12">
        <v>19450</v>
      </c>
      <c r="D382" s="12" t="s">
        <v>413</v>
      </c>
      <c r="E382" s="17">
        <v>0.95519100342009156</v>
      </c>
      <c r="F382" s="17">
        <v>4.480899657990841E-2</v>
      </c>
      <c r="G382" s="13">
        <v>0.68737299278798258</v>
      </c>
      <c r="H382" s="13">
        <v>21.289405684754524</v>
      </c>
      <c r="I382" s="14">
        <v>9.7556833577677331</v>
      </c>
      <c r="J382" s="16">
        <v>0.52259999999999995</v>
      </c>
      <c r="K382" s="16">
        <v>0.52239999999999998</v>
      </c>
      <c r="L382" s="13">
        <v>0.31219999999999998</v>
      </c>
      <c r="M382" s="13">
        <v>3.85E-2</v>
      </c>
      <c r="N382" s="13">
        <v>8.6800000000000002E-2</v>
      </c>
      <c r="O382" s="13">
        <v>4.9599999999999998E-2</v>
      </c>
      <c r="P382" s="16">
        <v>0.94279999999999997</v>
      </c>
      <c r="Q382" s="16">
        <v>0.56090000000000007</v>
      </c>
      <c r="R382" s="16">
        <v>0.44369999999999998</v>
      </c>
      <c r="S382" s="16">
        <f t="shared" si="10"/>
        <v>0.64913333333333334</v>
      </c>
      <c r="T382" s="18">
        <v>0.49807768792257695</v>
      </c>
      <c r="U382" s="1">
        <v>0</v>
      </c>
      <c r="V382" s="1">
        <f t="shared" si="11"/>
        <v>0</v>
      </c>
      <c r="W382" s="25"/>
      <c r="X382">
        <v>6.7000000000000002E-3</v>
      </c>
      <c r="Y382" s="1">
        <v>4.1500000000000002E-2</v>
      </c>
      <c r="Z382" s="1">
        <v>4.07E-2</v>
      </c>
      <c r="AA382" s="1">
        <v>25765</v>
      </c>
      <c r="AB382" s="1">
        <v>75</v>
      </c>
      <c r="AC382" s="29">
        <v>4781</v>
      </c>
    </row>
    <row r="383" spans="1:29">
      <c r="A383" s="12">
        <v>19</v>
      </c>
      <c r="B383" s="12" t="s">
        <v>397</v>
      </c>
      <c r="C383" s="12">
        <v>19455</v>
      </c>
      <c r="D383" s="12" t="s">
        <v>414</v>
      </c>
      <c r="E383" s="17">
        <v>0.69203026660066469</v>
      </c>
      <c r="F383" s="17">
        <v>0.30796973339933525</v>
      </c>
      <c r="G383" s="13">
        <v>0.83803484650942273</v>
      </c>
      <c r="H383" s="13">
        <v>2.2468143726323038</v>
      </c>
      <c r="I383" s="14">
        <v>10.250016196420983</v>
      </c>
      <c r="J383" s="16">
        <v>0.88419999999999999</v>
      </c>
      <c r="K383" s="16">
        <v>0.8841</v>
      </c>
      <c r="L383" s="13">
        <v>0.51959999999999995</v>
      </c>
      <c r="M383" s="13">
        <v>2.63E-2</v>
      </c>
      <c r="N383" s="13">
        <v>6.93E-2</v>
      </c>
      <c r="O383" s="13">
        <v>7.7499999999999999E-2</v>
      </c>
      <c r="P383" s="16">
        <v>0.56619999999999993</v>
      </c>
      <c r="Q383" s="16">
        <v>0.50950000000000006</v>
      </c>
      <c r="R383" s="16">
        <v>0.56479999999999997</v>
      </c>
      <c r="S383" s="16">
        <f t="shared" si="10"/>
        <v>0.54683333333333328</v>
      </c>
      <c r="T383" s="18">
        <v>0.78785179907374403</v>
      </c>
      <c r="U383" s="1">
        <v>0</v>
      </c>
      <c r="V383" s="1">
        <f t="shared" si="11"/>
        <v>0</v>
      </c>
      <c r="W383" s="26"/>
      <c r="X383">
        <v>0.27379999999999999</v>
      </c>
      <c r="Y383" s="1">
        <v>1.0490999999999999</v>
      </c>
      <c r="Z383" s="1">
        <v>0.71740000000000004</v>
      </c>
      <c r="AA383" s="1">
        <v>32570</v>
      </c>
      <c r="AB383" s="1">
        <v>232</v>
      </c>
      <c r="AC383" s="29">
        <v>6032</v>
      </c>
    </row>
    <row r="384" spans="1:29">
      <c r="A384" s="12">
        <v>19</v>
      </c>
      <c r="B384" s="12" t="s">
        <v>397</v>
      </c>
      <c r="C384" s="12">
        <v>19473</v>
      </c>
      <c r="D384" s="12" t="s">
        <v>192</v>
      </c>
      <c r="E384" s="17">
        <v>0.949209363040318</v>
      </c>
      <c r="F384" s="17">
        <v>5.0790636959681966E-2</v>
      </c>
      <c r="G384" s="13">
        <v>0.80222290977461508</v>
      </c>
      <c r="H384" s="13">
        <v>18.677758318739055</v>
      </c>
      <c r="I384" s="14">
        <v>10.425490476892245</v>
      </c>
      <c r="J384" s="16">
        <v>0.73480000000000001</v>
      </c>
      <c r="K384" s="16">
        <v>0.73380000000000001</v>
      </c>
      <c r="L384" s="13">
        <v>0.30320000000000003</v>
      </c>
      <c r="M384" s="13">
        <v>3.3300000000000003E-2</v>
      </c>
      <c r="N384" s="13">
        <v>8.8800000000000004E-2</v>
      </c>
      <c r="O384" s="13">
        <v>6.25E-2</v>
      </c>
      <c r="P384" s="16">
        <v>0</v>
      </c>
      <c r="Q384" s="16">
        <v>0</v>
      </c>
      <c r="R384" s="16">
        <v>0</v>
      </c>
      <c r="S384" s="16">
        <f t="shared" si="10"/>
        <v>0</v>
      </c>
      <c r="T384" s="18">
        <v>0.56983752620545003</v>
      </c>
      <c r="U384" s="1">
        <v>2.2624434390000001</v>
      </c>
      <c r="V384" s="1">
        <f t="shared" si="11"/>
        <v>1.1824764357935487</v>
      </c>
      <c r="W384" s="25"/>
      <c r="X384">
        <v>1.41E-2</v>
      </c>
      <c r="Y384" s="1">
        <v>1.7999999999999999E-2</v>
      </c>
      <c r="Z384" s="1">
        <v>1.78E-2</v>
      </c>
      <c r="AA384" s="1">
        <v>44523</v>
      </c>
      <c r="AB384" s="1">
        <v>442</v>
      </c>
      <c r="AC384" s="29">
        <v>9867</v>
      </c>
    </row>
    <row r="385" spans="1:29">
      <c r="A385" s="12">
        <v>19</v>
      </c>
      <c r="B385" s="12" t="s">
        <v>397</v>
      </c>
      <c r="C385" s="12">
        <v>19513</v>
      </c>
      <c r="D385" s="12" t="s">
        <v>415</v>
      </c>
      <c r="E385" s="17">
        <v>0.78838484546360921</v>
      </c>
      <c r="F385" s="17">
        <v>0.21161515453639082</v>
      </c>
      <c r="G385" s="13">
        <v>0.75648156877533701</v>
      </c>
      <c r="H385" s="13">
        <v>3.7233666862860506</v>
      </c>
      <c r="I385" s="14">
        <v>8.9903169479982168</v>
      </c>
      <c r="J385" s="16">
        <v>0.70589999999999997</v>
      </c>
      <c r="K385" s="16">
        <v>0.70589999999999997</v>
      </c>
      <c r="L385" s="13">
        <v>0.36659999999999998</v>
      </c>
      <c r="M385" s="13">
        <v>1.9800000000000002E-2</v>
      </c>
      <c r="N385" s="13">
        <v>0.1162</v>
      </c>
      <c r="O385" s="13">
        <v>6.1499999999999999E-2</v>
      </c>
      <c r="P385" s="16">
        <v>0.42469999999999997</v>
      </c>
      <c r="Q385" s="16">
        <v>0.2868</v>
      </c>
      <c r="R385" s="16">
        <v>0.42479999999999996</v>
      </c>
      <c r="S385" s="16">
        <f t="shared" si="10"/>
        <v>0.37876666666666664</v>
      </c>
      <c r="T385" s="18">
        <v>0.67352415026833601</v>
      </c>
      <c r="U385" s="1">
        <v>0</v>
      </c>
      <c r="V385" s="1">
        <f t="shared" si="11"/>
        <v>0</v>
      </c>
      <c r="W385" s="26"/>
      <c r="X385">
        <v>9.4000000000000004E-3</v>
      </c>
      <c r="Y385" s="1">
        <v>0.61380000000000001</v>
      </c>
      <c r="Z385" s="1">
        <v>0.47860000000000003</v>
      </c>
      <c r="AA385" s="1">
        <v>10541</v>
      </c>
      <c r="AB385" s="1">
        <v>70</v>
      </c>
      <c r="AC385" s="29">
        <v>1958</v>
      </c>
    </row>
    <row r="386" spans="1:29">
      <c r="A386" s="12">
        <v>19</v>
      </c>
      <c r="B386" s="12" t="s">
        <v>397</v>
      </c>
      <c r="C386" s="12">
        <v>19517</v>
      </c>
      <c r="D386" s="12" t="s">
        <v>275</v>
      </c>
      <c r="E386" s="17">
        <v>0.93816034013085869</v>
      </c>
      <c r="F386" s="17">
        <v>6.1839659869141271E-2</v>
      </c>
      <c r="G386" s="13">
        <v>0.79146852583219152</v>
      </c>
      <c r="H386" s="13">
        <v>15.164609053497943</v>
      </c>
      <c r="I386" s="14">
        <v>10.578470762468402</v>
      </c>
      <c r="J386" s="16">
        <v>0.70320000000000005</v>
      </c>
      <c r="K386" s="16">
        <v>0.70320000000000005</v>
      </c>
      <c r="L386" s="13">
        <v>0.23749999999999999</v>
      </c>
      <c r="M386" s="13">
        <v>4.0500000000000001E-2</v>
      </c>
      <c r="N386" s="13">
        <v>0.12970000000000001</v>
      </c>
      <c r="O386" s="13">
        <v>0.109</v>
      </c>
      <c r="P386" s="16">
        <v>0.79709999999999992</v>
      </c>
      <c r="Q386" s="16">
        <v>0.42349999999999999</v>
      </c>
      <c r="R386" s="16">
        <v>0.31280000000000002</v>
      </c>
      <c r="S386" s="16">
        <f t="shared" ref="S386:S449" si="12">+(P386+Q386+R386)/3</f>
        <v>0.51113333333333333</v>
      </c>
      <c r="T386" s="18">
        <v>0.72043102711023588</v>
      </c>
      <c r="U386" s="1">
        <v>12.02749141</v>
      </c>
      <c r="V386" s="1">
        <f t="shared" ref="V386:V449" si="13">LN(U386+1)</f>
        <v>2.567061848426615</v>
      </c>
      <c r="W386" s="25"/>
      <c r="X386">
        <v>1.5299999999999999E-2</v>
      </c>
      <c r="Y386" s="1">
        <v>7.22E-2</v>
      </c>
      <c r="Z386" s="1">
        <v>6.9699999999999998E-2</v>
      </c>
      <c r="AA386" s="1">
        <v>52403</v>
      </c>
      <c r="AB386" s="1">
        <v>582</v>
      </c>
      <c r="AC386" s="29">
        <v>14914</v>
      </c>
    </row>
    <row r="387" spans="1:29">
      <c r="A387" s="12">
        <v>19</v>
      </c>
      <c r="B387" s="12" t="s">
        <v>397</v>
      </c>
      <c r="C387" s="12">
        <v>19532</v>
      </c>
      <c r="D387" s="12" t="s">
        <v>416</v>
      </c>
      <c r="E387" s="17">
        <v>0.90645836777428779</v>
      </c>
      <c r="F387" s="17">
        <v>9.354163222571224E-2</v>
      </c>
      <c r="G387" s="13">
        <v>0.9210272547327818</v>
      </c>
      <c r="H387" s="13">
        <v>9.6875736160188453</v>
      </c>
      <c r="I387" s="14">
        <v>10.499435269718941</v>
      </c>
      <c r="J387" s="16">
        <v>0.75619999999999998</v>
      </c>
      <c r="K387" s="16">
        <v>0.75619999999999998</v>
      </c>
      <c r="L387" s="13">
        <v>0.34760000000000002</v>
      </c>
      <c r="M387" s="13">
        <v>3.09E-2</v>
      </c>
      <c r="N387" s="13">
        <v>8.9899999999999994E-2</v>
      </c>
      <c r="O387" s="13">
        <v>5.9900000000000002E-2</v>
      </c>
      <c r="P387" s="16">
        <v>0.38919999999999999</v>
      </c>
      <c r="Q387" s="16">
        <v>0.38919999999999999</v>
      </c>
      <c r="R387" s="16">
        <v>0.38919999999999999</v>
      </c>
      <c r="S387" s="16">
        <f t="shared" si="12"/>
        <v>0.38919999999999999</v>
      </c>
      <c r="T387" s="18">
        <v>0.67561151821653398</v>
      </c>
      <c r="U387" s="1">
        <v>12.121212119999999</v>
      </c>
      <c r="V387" s="1">
        <f t="shared" si="13"/>
        <v>2.5742301664436309</v>
      </c>
      <c r="W387" s="26"/>
      <c r="X387">
        <v>2.5899999999999999E-2</v>
      </c>
      <c r="Y387" s="1">
        <v>9.6299999999999997E-2</v>
      </c>
      <c r="Z387" s="1">
        <v>9.1999999999999998E-2</v>
      </c>
      <c r="AA387" s="1">
        <v>38915</v>
      </c>
      <c r="AB387" s="1">
        <v>330</v>
      </c>
      <c r="AC387" s="29">
        <v>7951</v>
      </c>
    </row>
    <row r="388" spans="1:29">
      <c r="A388" s="12">
        <v>19</v>
      </c>
      <c r="B388" s="12" t="s">
        <v>397</v>
      </c>
      <c r="C388" s="12">
        <v>19533</v>
      </c>
      <c r="D388" s="12" t="s">
        <v>417</v>
      </c>
      <c r="E388" s="17">
        <v>0.9425832279814581</v>
      </c>
      <c r="F388" s="17">
        <v>5.741677201854193E-2</v>
      </c>
      <c r="G388" s="13">
        <v>0.9678800856531049</v>
      </c>
      <c r="H388" s="13">
        <v>16.386446886446887</v>
      </c>
      <c r="I388" s="14">
        <v>9.1583099638817984</v>
      </c>
      <c r="J388" s="16">
        <v>0.73240000000000005</v>
      </c>
      <c r="K388" s="16">
        <v>0.73240000000000005</v>
      </c>
      <c r="L388" s="13">
        <v>0.1888</v>
      </c>
      <c r="M388" s="13">
        <v>3.4700000000000002E-2</v>
      </c>
      <c r="N388" s="13">
        <v>0.1008</v>
      </c>
      <c r="O388" s="13">
        <v>0.18029999999999999</v>
      </c>
      <c r="P388" s="16">
        <v>0.96260000000000001</v>
      </c>
      <c r="Q388" s="16">
        <v>0.52500000000000002</v>
      </c>
      <c r="R388" s="16">
        <v>0.52500000000000002</v>
      </c>
      <c r="S388" s="16">
        <f t="shared" si="12"/>
        <v>0.67086666666666661</v>
      </c>
      <c r="T388" s="18">
        <v>0.46905766526019599</v>
      </c>
      <c r="U388" s="1">
        <v>11.764705879999999</v>
      </c>
      <c r="V388" s="1">
        <f t="shared" si="13"/>
        <v>2.5466840092999115</v>
      </c>
      <c r="W388" s="25"/>
      <c r="X388">
        <v>5.0799999999999998E-2</v>
      </c>
      <c r="Y388" s="1">
        <v>1.66E-2</v>
      </c>
      <c r="Z388" s="1">
        <v>1.6500000000000001E-2</v>
      </c>
      <c r="AA388" s="1">
        <v>9705</v>
      </c>
      <c r="AB388" s="1">
        <v>85</v>
      </c>
      <c r="AC388" s="29">
        <v>2524</v>
      </c>
    </row>
    <row r="389" spans="1:29">
      <c r="A389" s="12">
        <v>19</v>
      </c>
      <c r="B389" s="12" t="s">
        <v>397</v>
      </c>
      <c r="C389" s="12">
        <v>19548</v>
      </c>
      <c r="D389" s="12" t="s">
        <v>418</v>
      </c>
      <c r="E389" s="17">
        <v>0.85053380782918153</v>
      </c>
      <c r="F389" s="17">
        <v>0.1494661921708185</v>
      </c>
      <c r="G389" s="13">
        <v>0.97158845340187894</v>
      </c>
      <c r="H389" s="13">
        <v>5.6895849647611589</v>
      </c>
      <c r="I389" s="14">
        <v>10.662258602530038</v>
      </c>
      <c r="J389" s="16">
        <v>0.88759999999999994</v>
      </c>
      <c r="K389" s="16">
        <v>0.88759999999999994</v>
      </c>
      <c r="L389" s="13">
        <v>0.42709999999999998</v>
      </c>
      <c r="M389" s="13">
        <v>2.7699999999999999E-2</v>
      </c>
      <c r="N389" s="13">
        <v>7.2499999999999995E-2</v>
      </c>
      <c r="O389" s="13">
        <v>4.9500000000000002E-2</v>
      </c>
      <c r="P389" s="16">
        <v>0</v>
      </c>
      <c r="Q389" s="16">
        <v>0</v>
      </c>
      <c r="R389" s="16">
        <v>0</v>
      </c>
      <c r="S389" s="16">
        <f t="shared" si="12"/>
        <v>0</v>
      </c>
      <c r="T389" s="18">
        <v>0.97464571483659501</v>
      </c>
      <c r="U389" s="1">
        <v>16.997167139999998</v>
      </c>
      <c r="V389" s="1">
        <f t="shared" si="13"/>
        <v>2.890214364399347</v>
      </c>
      <c r="W389" s="26"/>
      <c r="X389">
        <v>5.4399999999999997E-2</v>
      </c>
      <c r="Y389" s="1">
        <v>0.73109999999999997</v>
      </c>
      <c r="Z389" s="1">
        <v>0.54869999999999997</v>
      </c>
      <c r="AA389" s="1">
        <v>42676</v>
      </c>
      <c r="AB389" s="1">
        <v>353</v>
      </c>
      <c r="AC389" s="29">
        <v>8010</v>
      </c>
    </row>
    <row r="390" spans="1:29">
      <c r="A390" s="12">
        <v>19</v>
      </c>
      <c r="B390" s="12" t="s">
        <v>397</v>
      </c>
      <c r="C390" s="12">
        <v>19573</v>
      </c>
      <c r="D390" s="12" t="s">
        <v>420</v>
      </c>
      <c r="E390" s="17">
        <v>0.50404288978730882</v>
      </c>
      <c r="F390" s="17">
        <v>0.49595711021269118</v>
      </c>
      <c r="G390" s="13">
        <v>1</v>
      </c>
      <c r="H390" s="13">
        <v>1.0162673660334562</v>
      </c>
      <c r="I390" s="14">
        <v>10.94889243537189</v>
      </c>
      <c r="J390" s="16">
        <v>1.0319</v>
      </c>
      <c r="K390" s="16">
        <v>1.0318000000000001</v>
      </c>
      <c r="L390" s="13">
        <v>0.59389999999999998</v>
      </c>
      <c r="M390" s="13">
        <v>2.29E-2</v>
      </c>
      <c r="N390" s="13">
        <v>9.3899999999999997E-2</v>
      </c>
      <c r="O390" s="13">
        <v>4.8899999999999999E-2</v>
      </c>
      <c r="P390" s="16">
        <v>0.98089999999999999</v>
      </c>
      <c r="Q390" s="16">
        <v>0.97060000000000002</v>
      </c>
      <c r="R390" s="16">
        <v>0.95840000000000003</v>
      </c>
      <c r="S390" s="16">
        <f t="shared" si="12"/>
        <v>0.96996666666666664</v>
      </c>
      <c r="T390" s="18">
        <v>1</v>
      </c>
      <c r="U390" s="1">
        <v>19.3236715</v>
      </c>
      <c r="V390" s="1">
        <f t="shared" si="13"/>
        <v>3.0117862904440011</v>
      </c>
      <c r="W390" s="26"/>
      <c r="X390">
        <v>0.23469999999999999</v>
      </c>
      <c r="Y390" s="1">
        <v>2.4750000000000001</v>
      </c>
      <c r="Z390" s="1">
        <v>1.2456</v>
      </c>
      <c r="AA390" s="1">
        <v>43471</v>
      </c>
      <c r="AB390" s="1">
        <v>414</v>
      </c>
      <c r="AC390" s="29">
        <v>8135</v>
      </c>
    </row>
    <row r="391" spans="1:29">
      <c r="A391" s="12">
        <v>19</v>
      </c>
      <c r="B391" s="12" t="s">
        <v>397</v>
      </c>
      <c r="C391" s="12">
        <v>19585</v>
      </c>
      <c r="D391" s="12" t="s">
        <v>421</v>
      </c>
      <c r="E391" s="17">
        <v>0.92745938628158842</v>
      </c>
      <c r="F391" s="17">
        <v>7.2540613718411556E-2</v>
      </c>
      <c r="G391" s="13">
        <v>0.95214565766152859</v>
      </c>
      <c r="H391" s="13">
        <v>12.775446775446776</v>
      </c>
      <c r="I391" s="14">
        <v>9.7829569958983811</v>
      </c>
      <c r="J391" s="16">
        <v>0.70199999999999996</v>
      </c>
      <c r="K391" s="16">
        <v>0.70199999999999996</v>
      </c>
      <c r="L391" s="13">
        <v>0.32729999999999998</v>
      </c>
      <c r="M391" s="13">
        <v>3.44E-2</v>
      </c>
      <c r="N391" s="13">
        <v>0.1089</v>
      </c>
      <c r="O391" s="13">
        <v>7.8299999999999995E-2</v>
      </c>
      <c r="P391" s="16">
        <v>0.34240000000000004</v>
      </c>
      <c r="Q391" s="16">
        <v>0.34009999999999996</v>
      </c>
      <c r="R391" s="16">
        <v>0.3387</v>
      </c>
      <c r="S391" s="16">
        <f t="shared" si="12"/>
        <v>0.34039999999999998</v>
      </c>
      <c r="T391" s="18">
        <v>0.89917738873655295</v>
      </c>
      <c r="U391" s="1">
        <v>16.528925619999999</v>
      </c>
      <c r="V391" s="1">
        <f t="shared" si="13"/>
        <v>2.8638524089773707</v>
      </c>
      <c r="W391" s="25"/>
      <c r="X391">
        <v>3.8899999999999997E-2</v>
      </c>
      <c r="Y391" s="1">
        <v>3.49E-2</v>
      </c>
      <c r="Z391" s="1">
        <v>3.44E-2</v>
      </c>
      <c r="AA391" s="1">
        <v>18062</v>
      </c>
      <c r="AB391" s="1">
        <v>121</v>
      </c>
      <c r="AC391" s="29">
        <v>3711</v>
      </c>
    </row>
    <row r="392" spans="1:29">
      <c r="A392" s="12">
        <v>19</v>
      </c>
      <c r="B392" s="12" t="s">
        <v>397</v>
      </c>
      <c r="C392" s="12">
        <v>19622</v>
      </c>
      <c r="D392" s="12" t="s">
        <v>422</v>
      </c>
      <c r="E392" s="17">
        <v>0.93084112149532705</v>
      </c>
      <c r="F392" s="17">
        <v>6.9158878504672894E-2</v>
      </c>
      <c r="G392" s="13">
        <v>0.87197457419933178</v>
      </c>
      <c r="H392" s="13">
        <v>13.441295546558704</v>
      </c>
      <c r="I392" s="14">
        <v>9.2780924740270017</v>
      </c>
      <c r="J392" s="16">
        <v>0.69710000000000005</v>
      </c>
      <c r="K392" s="16">
        <v>0.69710000000000005</v>
      </c>
      <c r="L392" s="13">
        <v>0.41820000000000002</v>
      </c>
      <c r="M392" s="13">
        <v>2.5999999999999999E-2</v>
      </c>
      <c r="N392" s="13">
        <v>6.08E-2</v>
      </c>
      <c r="O392" s="13">
        <v>4.4499999999999998E-2</v>
      </c>
      <c r="P392" s="16">
        <v>0.45640000000000003</v>
      </c>
      <c r="Q392" s="16">
        <v>6.9599999999999995E-2</v>
      </c>
      <c r="R392" s="16">
        <v>6.9599999999999995E-2</v>
      </c>
      <c r="S392" s="16">
        <f t="shared" si="12"/>
        <v>0.19853333333333334</v>
      </c>
      <c r="T392" s="18">
        <v>0.66108436257065095</v>
      </c>
      <c r="U392" s="1">
        <v>0</v>
      </c>
      <c r="V392" s="1">
        <f t="shared" si="13"/>
        <v>0</v>
      </c>
      <c r="W392" s="26"/>
      <c r="X392">
        <v>2.8299999999999999E-2</v>
      </c>
      <c r="Y392" s="1">
        <v>5.79E-2</v>
      </c>
      <c r="Z392" s="1">
        <v>5.6300000000000003E-2</v>
      </c>
      <c r="AA392" s="1">
        <v>12028</v>
      </c>
      <c r="AB392" s="1">
        <v>45</v>
      </c>
      <c r="AC392" s="29">
        <v>2105</v>
      </c>
    </row>
    <row r="393" spans="1:29">
      <c r="A393" s="12">
        <v>19</v>
      </c>
      <c r="B393" s="12" t="s">
        <v>397</v>
      </c>
      <c r="C393" s="12">
        <v>19693</v>
      </c>
      <c r="D393" s="12" t="s">
        <v>423</v>
      </c>
      <c r="E393" s="17">
        <v>0.93219642490240395</v>
      </c>
      <c r="F393" s="17">
        <v>6.7803575097596061E-2</v>
      </c>
      <c r="G393" s="13">
        <v>0.82779147886725057</v>
      </c>
      <c r="H393" s="13">
        <v>13.727685325264749</v>
      </c>
      <c r="I393" s="14">
        <v>9.1834829178063</v>
      </c>
      <c r="J393" s="16">
        <v>0.51959999999999995</v>
      </c>
      <c r="K393" s="16">
        <v>0.51959999999999995</v>
      </c>
      <c r="L393" s="13">
        <v>0.31590000000000001</v>
      </c>
      <c r="M393" s="13">
        <v>2.2499999999999999E-2</v>
      </c>
      <c r="N393" s="13">
        <v>6.5600000000000006E-2</v>
      </c>
      <c r="O393" s="13">
        <v>3.6600000000000001E-2</v>
      </c>
      <c r="P393" s="16">
        <v>0.47039999999999998</v>
      </c>
      <c r="Q393" s="16">
        <v>0.105</v>
      </c>
      <c r="R393" s="16">
        <v>0.03</v>
      </c>
      <c r="S393" s="16">
        <f t="shared" si="12"/>
        <v>0.20180000000000001</v>
      </c>
      <c r="T393" s="18">
        <v>0.65316865762300003</v>
      </c>
      <c r="U393" s="1">
        <v>0</v>
      </c>
      <c r="V393" s="1">
        <f t="shared" si="13"/>
        <v>0</v>
      </c>
      <c r="W393" s="25"/>
      <c r="X393">
        <v>1.18E-2</v>
      </c>
      <c r="Y393" s="1">
        <v>4.1000000000000002E-2</v>
      </c>
      <c r="Z393" s="1">
        <v>4.02E-2</v>
      </c>
      <c r="AA393" s="1">
        <v>10813</v>
      </c>
      <c r="AB393" s="1">
        <v>42</v>
      </c>
      <c r="AC393" s="29">
        <v>1995</v>
      </c>
    </row>
    <row r="394" spans="1:29" ht="25.5">
      <c r="A394" s="12">
        <v>19</v>
      </c>
      <c r="B394" s="12" t="s">
        <v>397</v>
      </c>
      <c r="C394" s="12">
        <v>19698</v>
      </c>
      <c r="D394" s="12" t="s">
        <v>424</v>
      </c>
      <c r="E394" s="17">
        <v>0.69102649887539003</v>
      </c>
      <c r="F394" s="17">
        <v>0.3089573776835452</v>
      </c>
      <c r="G394" s="13">
        <v>1</v>
      </c>
      <c r="H394" s="13">
        <v>2.2365818656229615</v>
      </c>
      <c r="I394" s="14">
        <v>11.728391620356485</v>
      </c>
      <c r="J394" s="16">
        <v>0.96840000000000004</v>
      </c>
      <c r="K394" s="16">
        <v>0.96819999999999995</v>
      </c>
      <c r="L394" s="13">
        <v>0.5494</v>
      </c>
      <c r="M394" s="13">
        <v>3.4799999999999998E-2</v>
      </c>
      <c r="N394" s="13">
        <v>7.9500000000000001E-2</v>
      </c>
      <c r="O394" s="13">
        <v>6.93E-2</v>
      </c>
      <c r="P394" s="16">
        <v>0.86980000000000002</v>
      </c>
      <c r="Q394" s="16">
        <v>0.8014</v>
      </c>
      <c r="R394" s="16">
        <v>0.8012999999999999</v>
      </c>
      <c r="S394" s="16">
        <f t="shared" si="12"/>
        <v>0.82416666666666671</v>
      </c>
      <c r="T394" s="18">
        <v>1</v>
      </c>
      <c r="U394" s="1">
        <v>6.8493150680000001</v>
      </c>
      <c r="V394" s="1">
        <f t="shared" si="13"/>
        <v>2.0604262755035214</v>
      </c>
      <c r="W394" s="25"/>
      <c r="X394">
        <v>0.1053</v>
      </c>
      <c r="Y394" s="1">
        <v>0.92279999999999995</v>
      </c>
      <c r="Z394" s="1">
        <v>0.65380000000000005</v>
      </c>
      <c r="AA394" s="1">
        <v>126198</v>
      </c>
      <c r="AB394" s="1">
        <v>1168</v>
      </c>
      <c r="AC394" s="29">
        <v>23616</v>
      </c>
    </row>
    <row r="395" spans="1:29">
      <c r="A395" s="12">
        <v>19</v>
      </c>
      <c r="B395" s="12" t="s">
        <v>397</v>
      </c>
      <c r="C395" s="12">
        <v>19701</v>
      </c>
      <c r="D395" s="12" t="s">
        <v>206</v>
      </c>
      <c r="E395" s="17">
        <v>0.91199249002581551</v>
      </c>
      <c r="F395" s="17">
        <v>8.8007509974184467E-2</v>
      </c>
      <c r="G395" s="13">
        <v>0.75083700440528633</v>
      </c>
      <c r="H395" s="13">
        <v>10.335106382978724</v>
      </c>
      <c r="I395" s="14">
        <v>8.3574938126585625</v>
      </c>
      <c r="J395" s="16">
        <v>0.77139999999999997</v>
      </c>
      <c r="K395" s="16">
        <v>0.77139999999999997</v>
      </c>
      <c r="L395" s="13">
        <v>0.3523</v>
      </c>
      <c r="M395" s="13">
        <v>5.8599999999999999E-2</v>
      </c>
      <c r="N395" s="13">
        <v>7.6799999999999993E-2</v>
      </c>
      <c r="O395" s="13">
        <v>7.1400000000000005E-2</v>
      </c>
      <c r="P395" s="16">
        <v>0.96040000000000003</v>
      </c>
      <c r="Q395" s="16">
        <v>0.73209999999999997</v>
      </c>
      <c r="R395" s="16">
        <v>0.76239999999999997</v>
      </c>
      <c r="S395" s="16">
        <f t="shared" si="12"/>
        <v>0.81829999999999992</v>
      </c>
      <c r="T395" s="18">
        <v>0.92923076923076908</v>
      </c>
      <c r="U395" s="1">
        <v>0</v>
      </c>
      <c r="V395" s="1">
        <f t="shared" si="13"/>
        <v>0</v>
      </c>
      <c r="W395" s="26"/>
      <c r="X395">
        <v>0.04</v>
      </c>
      <c r="Y395" s="1">
        <v>3.8999999999999998E-3</v>
      </c>
      <c r="Z395" s="1">
        <v>3.8999999999999998E-3</v>
      </c>
      <c r="AA395" s="1">
        <v>5328</v>
      </c>
      <c r="AB395" s="1">
        <v>40</v>
      </c>
      <c r="AC395" s="29">
        <v>1189</v>
      </c>
    </row>
    <row r="396" spans="1:29">
      <c r="A396" s="12">
        <v>19</v>
      </c>
      <c r="B396" s="12" t="s">
        <v>397</v>
      </c>
      <c r="C396" s="12">
        <v>19743</v>
      </c>
      <c r="D396" s="12" t="s">
        <v>425</v>
      </c>
      <c r="E396" s="17">
        <v>0.92504988692297463</v>
      </c>
      <c r="F396" s="17">
        <v>7.4950113077025413E-2</v>
      </c>
      <c r="G396" s="13">
        <v>0.93022968022968022</v>
      </c>
      <c r="H396" s="13">
        <v>12.337828246983676</v>
      </c>
      <c r="I396" s="14">
        <v>10.534386919616546</v>
      </c>
      <c r="J396" s="16">
        <v>0.69989999999999997</v>
      </c>
      <c r="K396" s="16">
        <v>0.69989999999999997</v>
      </c>
      <c r="L396" s="13">
        <v>0.31590000000000001</v>
      </c>
      <c r="M396" s="13">
        <v>2.4199999999999999E-2</v>
      </c>
      <c r="N396" s="13">
        <v>8.8099999999999998E-2</v>
      </c>
      <c r="O396" s="13">
        <v>5.8099999999999999E-2</v>
      </c>
      <c r="P396" s="16">
        <v>0.31640000000000001</v>
      </c>
      <c r="Q396" s="16">
        <v>0.214</v>
      </c>
      <c r="R396" s="16">
        <v>0.2026</v>
      </c>
      <c r="S396" s="16">
        <f t="shared" si="12"/>
        <v>0.24433333333333332</v>
      </c>
      <c r="T396" s="18">
        <v>0.74294294294294205</v>
      </c>
      <c r="U396" s="1">
        <v>12.61829653</v>
      </c>
      <c r="V396" s="1">
        <f t="shared" si="13"/>
        <v>2.6114142216805134</v>
      </c>
      <c r="W396" s="26"/>
      <c r="X396">
        <v>7.4000000000000003E-3</v>
      </c>
      <c r="Y396" s="1">
        <v>8.6300000000000002E-2</v>
      </c>
      <c r="Z396" s="1">
        <v>8.2799999999999999E-2</v>
      </c>
      <c r="AA396" s="1">
        <v>39887</v>
      </c>
      <c r="AB396" s="1">
        <v>317</v>
      </c>
      <c r="AC396" s="29">
        <v>8685</v>
      </c>
    </row>
    <row r="397" spans="1:29">
      <c r="A397" s="12">
        <v>19</v>
      </c>
      <c r="B397" s="12" t="s">
        <v>397</v>
      </c>
      <c r="C397" s="12">
        <v>19760</v>
      </c>
      <c r="D397" s="12" t="s">
        <v>426</v>
      </c>
      <c r="E397" s="17">
        <v>0.90275031457846489</v>
      </c>
      <c r="F397" s="17">
        <v>9.7249685421535143E-2</v>
      </c>
      <c r="G397" s="13">
        <v>0.74123917388407723</v>
      </c>
      <c r="H397" s="13">
        <v>9.2742382271468138</v>
      </c>
      <c r="I397" s="14">
        <v>9.3171298661576998</v>
      </c>
      <c r="J397" s="16">
        <v>0.48909999999999998</v>
      </c>
      <c r="K397" s="16">
        <v>0.48909999999999998</v>
      </c>
      <c r="L397" s="13">
        <v>0.26440000000000002</v>
      </c>
      <c r="M397" s="13">
        <v>2.0799999999999999E-2</v>
      </c>
      <c r="N397" s="13">
        <v>6.9400000000000003E-2</v>
      </c>
      <c r="O397" s="13">
        <v>4.3200000000000002E-2</v>
      </c>
      <c r="P397" s="16">
        <v>0.43229999999999996</v>
      </c>
      <c r="Q397" s="16">
        <v>0.13739999999999999</v>
      </c>
      <c r="R397" s="16">
        <v>0.13739999999999999</v>
      </c>
      <c r="S397" s="16">
        <f t="shared" si="12"/>
        <v>0.23569999999999999</v>
      </c>
      <c r="T397" s="18">
        <v>0.67312013828867701</v>
      </c>
      <c r="U397" s="1">
        <v>0</v>
      </c>
      <c r="V397" s="1">
        <f t="shared" si="13"/>
        <v>0</v>
      </c>
      <c r="W397" s="25"/>
      <c r="X397">
        <v>4.1000000000000003E-3</v>
      </c>
      <c r="Y397" s="1">
        <v>6.9900000000000004E-2</v>
      </c>
      <c r="Z397" s="1">
        <v>6.7599999999999993E-2</v>
      </c>
      <c r="AA397" s="1">
        <v>14596</v>
      </c>
      <c r="AB397" s="1">
        <v>58</v>
      </c>
      <c r="AC397" s="29">
        <v>2852</v>
      </c>
    </row>
    <row r="398" spans="1:29">
      <c r="A398" s="12">
        <v>19</v>
      </c>
      <c r="B398" s="12" t="s">
        <v>397</v>
      </c>
      <c r="C398" s="12">
        <v>19780</v>
      </c>
      <c r="D398" s="12" t="s">
        <v>427</v>
      </c>
      <c r="E398" s="17">
        <v>0.95244919228764979</v>
      </c>
      <c r="F398" s="17">
        <v>4.7550807712350179E-2</v>
      </c>
      <c r="G398" s="13">
        <v>0.67542676130697488</v>
      </c>
      <c r="H398" s="13">
        <v>20.011861313868614</v>
      </c>
      <c r="I398" s="14">
        <v>10.044509570248016</v>
      </c>
      <c r="J398" s="16">
        <v>0.6401</v>
      </c>
      <c r="K398" s="16">
        <v>0.6401</v>
      </c>
      <c r="L398" s="13">
        <v>0.2492</v>
      </c>
      <c r="M398" s="13">
        <v>3.8199999999999998E-2</v>
      </c>
      <c r="N398" s="13">
        <v>8.5599999999999996E-2</v>
      </c>
      <c r="O398" s="13">
        <v>4.3799999999999999E-2</v>
      </c>
      <c r="P398" s="16">
        <v>0.67689999999999995</v>
      </c>
      <c r="Q398" s="16">
        <v>0.36229999999999996</v>
      </c>
      <c r="R398" s="16">
        <v>0.2999</v>
      </c>
      <c r="S398" s="16">
        <f t="shared" si="12"/>
        <v>0.44636666666666663</v>
      </c>
      <c r="T398" s="18">
        <v>0.70287998360151605</v>
      </c>
      <c r="U398" s="1">
        <v>20.066889629999999</v>
      </c>
      <c r="V398" s="1">
        <f t="shared" si="13"/>
        <v>3.0477025961312267</v>
      </c>
      <c r="W398" s="26"/>
      <c r="X398">
        <v>2.5700000000000001E-2</v>
      </c>
      <c r="Y398" s="1">
        <v>0.1062</v>
      </c>
      <c r="Z398" s="1">
        <v>0.1009</v>
      </c>
      <c r="AA398" s="1">
        <v>37158</v>
      </c>
      <c r="AB398" s="1">
        <v>299</v>
      </c>
      <c r="AC398" s="29">
        <v>8010</v>
      </c>
    </row>
    <row r="399" spans="1:29">
      <c r="A399" s="12">
        <v>19</v>
      </c>
      <c r="B399" s="12" t="s">
        <v>397</v>
      </c>
      <c r="C399" s="12">
        <v>19785</v>
      </c>
      <c r="D399" s="12" t="s">
        <v>428</v>
      </c>
      <c r="E399" s="17">
        <v>0.96176664469347395</v>
      </c>
      <c r="F399" s="17">
        <v>3.8233355306526037E-2</v>
      </c>
      <c r="G399" s="13">
        <v>0.75517722023098366</v>
      </c>
      <c r="H399" s="13">
        <v>25.06872852233677</v>
      </c>
      <c r="I399" s="14">
        <v>8.9340597222488434</v>
      </c>
      <c r="J399" s="16">
        <v>0.43780000000000002</v>
      </c>
      <c r="K399" s="16">
        <v>0.43780000000000002</v>
      </c>
      <c r="L399" s="13">
        <v>0.22869999999999999</v>
      </c>
      <c r="M399" s="13">
        <v>3.4700000000000002E-2</v>
      </c>
      <c r="N399" s="13">
        <v>4.3400000000000001E-2</v>
      </c>
      <c r="O399" s="13">
        <v>4.8300000000000003E-2</v>
      </c>
      <c r="P399" s="16">
        <v>0.14779999999999999</v>
      </c>
      <c r="Q399" s="16">
        <v>0.14779999999999999</v>
      </c>
      <c r="R399" s="16">
        <v>0.14779999999999999</v>
      </c>
      <c r="S399" s="16">
        <f t="shared" si="12"/>
        <v>0.14779999999999999</v>
      </c>
      <c r="T399" s="18">
        <v>0.737722808293925</v>
      </c>
      <c r="U399" s="1">
        <v>23.25581395</v>
      </c>
      <c r="V399" s="1">
        <f t="shared" si="13"/>
        <v>3.1886563391633942</v>
      </c>
      <c r="W399" s="25"/>
      <c r="X399">
        <v>1.23E-2</v>
      </c>
      <c r="Y399" s="1">
        <v>5.9499999999999997E-2</v>
      </c>
      <c r="Z399" s="1">
        <v>5.7799999999999997E-2</v>
      </c>
      <c r="AA399" s="1">
        <v>9756</v>
      </c>
      <c r="AB399" s="1">
        <v>43</v>
      </c>
      <c r="AC399" s="29">
        <v>1940</v>
      </c>
    </row>
    <row r="400" spans="1:29">
      <c r="A400" s="12">
        <v>19</v>
      </c>
      <c r="B400" s="12" t="s">
        <v>397</v>
      </c>
      <c r="C400" s="12">
        <v>19807</v>
      </c>
      <c r="D400" s="12" t="s">
        <v>429</v>
      </c>
      <c r="E400" s="17">
        <v>0.88196411709159583</v>
      </c>
      <c r="F400" s="17">
        <v>0.11803588290840415</v>
      </c>
      <c r="G400" s="13">
        <v>0.88965897456091991</v>
      </c>
      <c r="H400" s="13">
        <v>7.4701324668832791</v>
      </c>
      <c r="I400" s="14">
        <v>10.430845756936479</v>
      </c>
      <c r="J400" s="16">
        <v>0.82350000000000001</v>
      </c>
      <c r="K400" s="16">
        <v>0.82350000000000001</v>
      </c>
      <c r="L400" s="13">
        <v>0.43290000000000001</v>
      </c>
      <c r="M400" s="13">
        <v>3.6900000000000002E-2</v>
      </c>
      <c r="N400" s="13">
        <v>7.4800000000000005E-2</v>
      </c>
      <c r="O400" s="13">
        <v>6.4299999999999996E-2</v>
      </c>
      <c r="P400" s="16">
        <v>0</v>
      </c>
      <c r="Q400" s="16">
        <v>0</v>
      </c>
      <c r="R400" s="16">
        <v>0</v>
      </c>
      <c r="S400" s="16">
        <f t="shared" si="12"/>
        <v>0</v>
      </c>
      <c r="T400" s="18">
        <v>0.85982033935898794</v>
      </c>
      <c r="U400" s="1">
        <v>7.380073801</v>
      </c>
      <c r="V400" s="1">
        <f t="shared" si="13"/>
        <v>2.1258567212571213</v>
      </c>
      <c r="W400" s="26"/>
      <c r="X400">
        <v>1.47E-2</v>
      </c>
      <c r="Y400" s="1">
        <v>0.6421</v>
      </c>
      <c r="Z400" s="1">
        <v>0.496</v>
      </c>
      <c r="AA400" s="1">
        <v>38572</v>
      </c>
      <c r="AB400" s="1">
        <v>271</v>
      </c>
      <c r="AC400" s="29">
        <v>7098</v>
      </c>
    </row>
    <row r="401" spans="1:29">
      <c r="A401" s="12">
        <v>19</v>
      </c>
      <c r="B401" s="12" t="s">
        <v>397</v>
      </c>
      <c r="C401" s="12">
        <v>19809</v>
      </c>
      <c r="D401" s="12" t="s">
        <v>430</v>
      </c>
      <c r="E401" s="17">
        <v>0.94896741624598435</v>
      </c>
      <c r="F401" s="17">
        <v>5.1032583754015606E-2</v>
      </c>
      <c r="G401" s="13">
        <v>0.7751414037209633</v>
      </c>
      <c r="H401" s="13">
        <v>18.578616352201259</v>
      </c>
      <c r="I401" s="14">
        <v>9.9892523194969218</v>
      </c>
      <c r="J401" s="16">
        <v>0.69879999999999998</v>
      </c>
      <c r="K401" s="16">
        <v>0.69869999999999999</v>
      </c>
      <c r="L401" s="13">
        <v>0.15390000000000001</v>
      </c>
      <c r="M401" s="13">
        <v>2.0299999999999999E-2</v>
      </c>
      <c r="N401" s="13">
        <v>0.18940000000000001</v>
      </c>
      <c r="O401" s="13">
        <v>0.1037</v>
      </c>
      <c r="P401" s="16">
        <v>0.69519999999999993</v>
      </c>
      <c r="Q401" s="16">
        <v>0.43700000000000006</v>
      </c>
      <c r="R401" s="16">
        <v>0.6956</v>
      </c>
      <c r="S401" s="16">
        <f t="shared" si="12"/>
        <v>0.60926666666666673</v>
      </c>
      <c r="T401" s="18">
        <v>0.98549398849973802</v>
      </c>
      <c r="U401" s="1">
        <v>22.058823530000002</v>
      </c>
      <c r="V401" s="1">
        <f t="shared" si="13"/>
        <v>3.1380484957597568</v>
      </c>
      <c r="W401" s="25"/>
      <c r="X401">
        <v>8.0000000000000002E-3</v>
      </c>
      <c r="Y401" s="1">
        <v>1.4E-3</v>
      </c>
      <c r="Z401" s="1">
        <v>1.4E-3</v>
      </c>
      <c r="AA401" s="1">
        <v>29010</v>
      </c>
      <c r="AB401" s="1">
        <v>136</v>
      </c>
      <c r="AC401" s="29">
        <v>8523</v>
      </c>
    </row>
    <row r="402" spans="1:29">
      <c r="A402" s="12">
        <v>19</v>
      </c>
      <c r="B402" s="12" t="s">
        <v>397</v>
      </c>
      <c r="C402" s="12">
        <v>19821</v>
      </c>
      <c r="D402" s="12" t="s">
        <v>431</v>
      </c>
      <c r="E402" s="17">
        <v>0.94992416930925139</v>
      </c>
      <c r="F402" s="17">
        <v>5.0075830690748654E-2</v>
      </c>
      <c r="G402" s="13">
        <v>0.9649566281730616</v>
      </c>
      <c r="H402" s="13">
        <v>18.959273527793066</v>
      </c>
      <c r="I402" s="14">
        <v>10.498635942213971</v>
      </c>
      <c r="J402" s="16">
        <v>0.72270000000000001</v>
      </c>
      <c r="K402" s="16">
        <v>0.72270000000000001</v>
      </c>
      <c r="L402" s="13">
        <v>0.35449999999999998</v>
      </c>
      <c r="M402" s="13">
        <v>4.6399999999999997E-2</v>
      </c>
      <c r="N402" s="13">
        <v>6.7900000000000002E-2</v>
      </c>
      <c r="O402" s="13">
        <v>4.9200000000000001E-2</v>
      </c>
      <c r="P402" s="16">
        <v>0.6381</v>
      </c>
      <c r="Q402" s="16">
        <v>0.58240000000000003</v>
      </c>
      <c r="R402" s="16">
        <v>0.57069999999999999</v>
      </c>
      <c r="S402" s="16">
        <f t="shared" si="12"/>
        <v>0.59706666666666663</v>
      </c>
      <c r="T402" s="18">
        <v>0.863593954095913</v>
      </c>
      <c r="U402" s="1">
        <v>16.43192488</v>
      </c>
      <c r="V402" s="1">
        <f t="shared" si="13"/>
        <v>2.8583032883168333</v>
      </c>
      <c r="W402" s="26"/>
      <c r="X402">
        <v>1.5599999999999999E-2</v>
      </c>
      <c r="Y402" s="1">
        <v>1.4081999999999999</v>
      </c>
      <c r="Z402" s="1">
        <v>0.87890000000000001</v>
      </c>
      <c r="AA402" s="1">
        <v>39282</v>
      </c>
      <c r="AB402" s="1">
        <v>426</v>
      </c>
      <c r="AC402" s="29">
        <v>9076</v>
      </c>
    </row>
    <row r="403" spans="1:29">
      <c r="A403" s="12">
        <v>19</v>
      </c>
      <c r="B403" s="12" t="s">
        <v>397</v>
      </c>
      <c r="C403" s="12">
        <v>19824</v>
      </c>
      <c r="D403" s="12" t="s">
        <v>432</v>
      </c>
      <c r="E403" s="17">
        <v>0.93244329344525811</v>
      </c>
      <c r="F403" s="17">
        <v>6.7556706554741913E-2</v>
      </c>
      <c r="G403" s="13">
        <v>0.8425884123401054</v>
      </c>
      <c r="H403" s="13">
        <v>13.793262879788639</v>
      </c>
      <c r="I403" s="14">
        <v>10.01668230030247</v>
      </c>
      <c r="J403" s="16">
        <v>0.63880000000000003</v>
      </c>
      <c r="K403" s="16">
        <v>0.63859999999999995</v>
      </c>
      <c r="L403" s="13">
        <v>0.2762</v>
      </c>
      <c r="M403" s="13">
        <v>3.49E-2</v>
      </c>
      <c r="N403" s="13">
        <v>0.1055</v>
      </c>
      <c r="O403" s="13">
        <v>9.2499999999999999E-2</v>
      </c>
      <c r="P403" s="16">
        <v>0.87529999999999997</v>
      </c>
      <c r="Q403" s="16">
        <v>0.36979999999999996</v>
      </c>
      <c r="R403" s="16">
        <v>0.22120000000000001</v>
      </c>
      <c r="S403" s="16">
        <f t="shared" si="12"/>
        <v>0.48876666666666663</v>
      </c>
      <c r="T403" s="18">
        <v>0.81702068582535003</v>
      </c>
      <c r="U403" s="1">
        <v>24.79338843</v>
      </c>
      <c r="V403" s="1">
        <f t="shared" si="13"/>
        <v>3.2501181966836508</v>
      </c>
      <c r="W403" s="25"/>
      <c r="X403">
        <v>2.76E-2</v>
      </c>
      <c r="Y403" s="1">
        <v>0.12570000000000001</v>
      </c>
      <c r="Z403" s="1">
        <v>0.11840000000000001</v>
      </c>
      <c r="AA403" s="1">
        <v>27100</v>
      </c>
      <c r="AB403" s="1">
        <v>242</v>
      </c>
      <c r="AC403" s="29">
        <v>6269</v>
      </c>
    </row>
    <row r="404" spans="1:29">
      <c r="A404" s="12">
        <v>19</v>
      </c>
      <c r="B404" s="12" t="s">
        <v>397</v>
      </c>
      <c r="C404" s="12">
        <v>19845</v>
      </c>
      <c r="D404" s="12" t="s">
        <v>433</v>
      </c>
      <c r="E404" s="17">
        <v>0.66770321537409039</v>
      </c>
      <c r="F404" s="17">
        <v>0.33229678462590956</v>
      </c>
      <c r="G404" s="13">
        <v>0.72571763856291749</v>
      </c>
      <c r="H404" s="13">
        <v>2.0089820359281436</v>
      </c>
      <c r="I404" s="14">
        <v>9.6853315427329569</v>
      </c>
      <c r="J404" s="16">
        <v>0.75600000000000001</v>
      </c>
      <c r="K404" s="16">
        <v>0.75600000000000001</v>
      </c>
      <c r="L404" s="13">
        <v>0.37459999999999999</v>
      </c>
      <c r="M404" s="13">
        <v>3.6700000000000003E-2</v>
      </c>
      <c r="N404" s="13">
        <v>9.9599999999999994E-2</v>
      </c>
      <c r="O404" s="13">
        <v>8.5400000000000004E-2</v>
      </c>
      <c r="P404" s="16">
        <v>0.99430000000000007</v>
      </c>
      <c r="Q404" s="16">
        <v>0.67</v>
      </c>
      <c r="R404" s="16">
        <v>0.78890000000000005</v>
      </c>
      <c r="S404" s="16">
        <f t="shared" si="12"/>
        <v>0.81773333333333342</v>
      </c>
      <c r="T404" s="18">
        <v>0.88075880758807501</v>
      </c>
      <c r="U404" s="1">
        <v>5.9523809520000004</v>
      </c>
      <c r="V404" s="1">
        <f t="shared" si="13"/>
        <v>1.9390841839301189</v>
      </c>
      <c r="W404" s="26"/>
      <c r="X404">
        <v>0.87119999999999997</v>
      </c>
      <c r="Y404" s="1">
        <v>2.3696000000000002</v>
      </c>
      <c r="Z404" s="1">
        <v>1.2148000000000001</v>
      </c>
      <c r="AA404" s="1">
        <v>23298</v>
      </c>
      <c r="AB404" s="1">
        <v>168</v>
      </c>
      <c r="AC404" s="29">
        <v>4295</v>
      </c>
    </row>
    <row r="405" spans="1:29">
      <c r="A405" s="12">
        <v>20</v>
      </c>
      <c r="B405" s="12" t="s">
        <v>434</v>
      </c>
      <c r="C405" s="12">
        <v>20001</v>
      </c>
      <c r="D405" s="12" t="s">
        <v>459</v>
      </c>
      <c r="E405" s="17">
        <v>0.67080584217658279</v>
      </c>
      <c r="F405" s="17">
        <v>0.32919074453959923</v>
      </c>
      <c r="G405" s="13">
        <v>1</v>
      </c>
      <c r="H405" s="13">
        <v>2.0377315450855154</v>
      </c>
      <c r="I405" s="14">
        <v>13.280984620782865</v>
      </c>
      <c r="J405" s="16">
        <v>0.85289999999999999</v>
      </c>
      <c r="K405" s="16">
        <v>0.84950000000000003</v>
      </c>
      <c r="L405" s="13">
        <v>0.4451</v>
      </c>
      <c r="M405" s="13">
        <v>4.0300000000000002E-2</v>
      </c>
      <c r="N405" s="13">
        <v>8.6300000000000002E-2</v>
      </c>
      <c r="O405" s="13">
        <v>7.2900000000000006E-2</v>
      </c>
      <c r="P405" s="16">
        <v>0.89249999999999996</v>
      </c>
      <c r="Q405" s="16">
        <v>0.88269999999999993</v>
      </c>
      <c r="R405" s="16"/>
      <c r="S405" s="16">
        <f t="shared" si="12"/>
        <v>0.59173333333333333</v>
      </c>
      <c r="T405" s="18">
        <v>5.9572631124541295E-2</v>
      </c>
      <c r="U405" s="1">
        <v>10.732019859999999</v>
      </c>
      <c r="V405" s="1">
        <f t="shared" si="13"/>
        <v>2.4623218439197725</v>
      </c>
      <c r="W405" s="25"/>
      <c r="X405">
        <v>0.15290000000000001</v>
      </c>
      <c r="Y405" s="1">
        <v>0.80659999999999998</v>
      </c>
      <c r="Z405" s="1">
        <v>0.59140000000000004</v>
      </c>
      <c r="AA405" s="1">
        <v>601259</v>
      </c>
      <c r="AB405" s="1">
        <v>6243</v>
      </c>
      <c r="AC405" s="29">
        <v>134882</v>
      </c>
    </row>
    <row r="406" spans="1:29">
      <c r="A406" s="12">
        <v>20</v>
      </c>
      <c r="B406" s="12" t="s">
        <v>434</v>
      </c>
      <c r="C406" s="12">
        <v>20011</v>
      </c>
      <c r="D406" s="12" t="s">
        <v>435</v>
      </c>
      <c r="E406" s="17">
        <v>0.76647114774889025</v>
      </c>
      <c r="F406" s="17">
        <v>0.2335288522511097</v>
      </c>
      <c r="G406" s="13">
        <v>0.98236324703134126</v>
      </c>
      <c r="H406" s="13">
        <v>3.282014730339748</v>
      </c>
      <c r="I406" s="14">
        <v>11.745314148048118</v>
      </c>
      <c r="J406" s="16">
        <v>0.80359999999999998</v>
      </c>
      <c r="K406" s="16">
        <v>0.80230000000000001</v>
      </c>
      <c r="L406" s="13">
        <v>0.40510000000000002</v>
      </c>
      <c r="M406" s="13">
        <v>4.0800000000000003E-2</v>
      </c>
      <c r="N406" s="13">
        <v>9.6600000000000005E-2</v>
      </c>
      <c r="O406" s="13">
        <v>8.5400000000000004E-2</v>
      </c>
      <c r="P406" s="16">
        <v>0.93889999999999996</v>
      </c>
      <c r="Q406" s="16">
        <v>0.93889999999999996</v>
      </c>
      <c r="R406" s="16">
        <v>0.9426000000000001</v>
      </c>
      <c r="S406" s="16">
        <f t="shared" si="12"/>
        <v>0.94013333333333338</v>
      </c>
      <c r="T406" s="18">
        <v>0.60506190823015205</v>
      </c>
      <c r="U406" s="1">
        <v>5.2473763120000001</v>
      </c>
      <c r="V406" s="1">
        <f t="shared" si="13"/>
        <v>1.8321615855317877</v>
      </c>
      <c r="W406" s="25"/>
      <c r="X406">
        <v>6.8400000000000002E-2</v>
      </c>
      <c r="Y406" s="1">
        <v>0.80069999999999997</v>
      </c>
      <c r="Z406" s="1">
        <v>0.58819999999999995</v>
      </c>
      <c r="AA406" s="1">
        <v>132237</v>
      </c>
      <c r="AB406" s="1">
        <v>1334</v>
      </c>
      <c r="AC406" s="29">
        <v>29531</v>
      </c>
    </row>
    <row r="407" spans="1:29">
      <c r="A407" s="12">
        <v>20</v>
      </c>
      <c r="B407" s="12" t="s">
        <v>434</v>
      </c>
      <c r="C407" s="12">
        <v>20013</v>
      </c>
      <c r="D407" s="12" t="s">
        <v>441</v>
      </c>
      <c r="E407" s="17">
        <v>0.81404116568167928</v>
      </c>
      <c r="F407" s="17">
        <v>0.18595883431832078</v>
      </c>
      <c r="G407" s="13">
        <v>1</v>
      </c>
      <c r="H407" s="13">
        <v>4.3772344359975346</v>
      </c>
      <c r="I407" s="14">
        <v>11.271019495155031</v>
      </c>
      <c r="J407" s="16">
        <v>1.0022</v>
      </c>
      <c r="K407" s="16">
        <v>1.0008999999999999</v>
      </c>
      <c r="L407" s="13">
        <v>0.37980000000000003</v>
      </c>
      <c r="M407" s="13">
        <v>5.7099999999999998E-2</v>
      </c>
      <c r="N407" s="13">
        <v>0.1081</v>
      </c>
      <c r="O407" s="13">
        <v>6.8199999999999997E-2</v>
      </c>
      <c r="P407" s="16">
        <v>0.81819999999999993</v>
      </c>
      <c r="Q407" s="16">
        <v>0.74360000000000004</v>
      </c>
      <c r="R407" s="16">
        <v>0.83040000000000003</v>
      </c>
      <c r="S407" s="16">
        <f t="shared" si="12"/>
        <v>0.7974</v>
      </c>
      <c r="T407" s="18">
        <v>0.60581373819662998</v>
      </c>
      <c r="U407" s="1">
        <v>18.218623480000002</v>
      </c>
      <c r="V407" s="1">
        <f t="shared" si="13"/>
        <v>2.9558797818306508</v>
      </c>
      <c r="W407" s="25"/>
      <c r="X407">
        <v>0.10829999999999999</v>
      </c>
      <c r="Y407" s="1">
        <v>0.34889999999999999</v>
      </c>
      <c r="Z407" s="1">
        <v>0.29930000000000001</v>
      </c>
      <c r="AA407" s="1">
        <v>67850</v>
      </c>
      <c r="AB407" s="1">
        <v>988</v>
      </c>
      <c r="AC407" s="29">
        <v>16282</v>
      </c>
    </row>
    <row r="408" spans="1:29">
      <c r="A408" s="12">
        <v>20</v>
      </c>
      <c r="B408" s="12" t="s">
        <v>434</v>
      </c>
      <c r="C408" s="12">
        <v>20032</v>
      </c>
      <c r="D408" s="12" t="s">
        <v>436</v>
      </c>
      <c r="E408" s="17">
        <v>0.93609535118969078</v>
      </c>
      <c r="F408" s="17">
        <v>6.3904648810309189E-2</v>
      </c>
      <c r="G408" s="13">
        <v>0.97583690987124461</v>
      </c>
      <c r="H408" s="13">
        <v>14.638239339752408</v>
      </c>
      <c r="I408" s="14">
        <v>10.031792812689051</v>
      </c>
      <c r="J408" s="16">
        <v>0.84260000000000002</v>
      </c>
      <c r="K408" s="16">
        <v>0.84260000000000002</v>
      </c>
      <c r="L408" s="13">
        <v>0.37030000000000002</v>
      </c>
      <c r="M408" s="13">
        <v>6.6299999999999998E-2</v>
      </c>
      <c r="N408" s="13">
        <v>0.122</v>
      </c>
      <c r="O408" s="13">
        <v>4.9299999999999997E-2</v>
      </c>
      <c r="P408" s="16">
        <v>0.83569999999999989</v>
      </c>
      <c r="Q408" s="16">
        <v>0.6835</v>
      </c>
      <c r="R408" s="16">
        <v>0.65069999999999995</v>
      </c>
      <c r="S408" s="16">
        <f t="shared" si="12"/>
        <v>0.72329999999999994</v>
      </c>
      <c r="T408" s="18">
        <v>0.74685179205682894</v>
      </c>
      <c r="U408" s="1">
        <v>20.74688797</v>
      </c>
      <c r="V408" s="1">
        <f t="shared" si="13"/>
        <v>3.0794706654584298</v>
      </c>
      <c r="W408" s="26"/>
      <c r="X408">
        <v>2.8799999999999999E-2</v>
      </c>
      <c r="Y408" s="1">
        <v>0.1711</v>
      </c>
      <c r="Z408" s="1">
        <v>0.15790000000000001</v>
      </c>
      <c r="AA408" s="1">
        <v>22144</v>
      </c>
      <c r="AB408" s="1">
        <v>241</v>
      </c>
      <c r="AC408" s="29">
        <v>5788</v>
      </c>
    </row>
    <row r="409" spans="1:29">
      <c r="A409" s="12">
        <v>20</v>
      </c>
      <c r="B409" s="12" t="s">
        <v>434</v>
      </c>
      <c r="C409" s="12">
        <v>20045</v>
      </c>
      <c r="D409" s="12" t="s">
        <v>437</v>
      </c>
      <c r="E409" s="17">
        <v>0.91295135516906512</v>
      </c>
      <c r="F409" s="17">
        <v>8.704864483093494E-2</v>
      </c>
      <c r="G409" s="13">
        <v>0.89868295779117735</v>
      </c>
      <c r="H409" s="13">
        <v>10.48251393816523</v>
      </c>
      <c r="I409" s="14">
        <v>10.028135857101239</v>
      </c>
      <c r="J409" s="16">
        <v>0.9345</v>
      </c>
      <c r="K409" s="16">
        <v>0.93369999999999997</v>
      </c>
      <c r="L409" s="13">
        <v>0.3422</v>
      </c>
      <c r="M409" s="13">
        <v>5.4199999999999998E-2</v>
      </c>
      <c r="N409" s="13">
        <v>0.1119</v>
      </c>
      <c r="O409" s="13">
        <v>5.8599999999999999E-2</v>
      </c>
      <c r="P409" s="16">
        <v>0.89390000000000003</v>
      </c>
      <c r="Q409" s="16">
        <v>0.89390000000000003</v>
      </c>
      <c r="R409" s="16">
        <v>0.77450000000000008</v>
      </c>
      <c r="S409" s="16">
        <f t="shared" si="12"/>
        <v>0.85409999999999997</v>
      </c>
      <c r="T409" s="18">
        <v>0.29101667563206002</v>
      </c>
      <c r="U409" s="1">
        <v>7.380073801</v>
      </c>
      <c r="V409" s="1">
        <f t="shared" si="13"/>
        <v>2.1258567212571213</v>
      </c>
      <c r="W409" s="25"/>
      <c r="X409">
        <v>0.1424</v>
      </c>
      <c r="Y409" s="1">
        <v>0.36820000000000003</v>
      </c>
      <c r="Z409" s="1">
        <v>0.3135</v>
      </c>
      <c r="AA409" s="1">
        <v>26931</v>
      </c>
      <c r="AB409" s="1">
        <v>271</v>
      </c>
      <c r="AC409" s="29">
        <v>7351</v>
      </c>
    </row>
    <row r="410" spans="1:29">
      <c r="A410" s="12">
        <v>20</v>
      </c>
      <c r="B410" s="12" t="s">
        <v>434</v>
      </c>
      <c r="C410" s="12">
        <v>20060</v>
      </c>
      <c r="D410" s="12" t="s">
        <v>438</v>
      </c>
      <c r="E410" s="17">
        <v>0.79370716630511984</v>
      </c>
      <c r="F410" s="17">
        <v>0.20629283369488011</v>
      </c>
      <c r="G410" s="13">
        <v>1</v>
      </c>
      <c r="H410" s="13">
        <v>3.8471201265469435</v>
      </c>
      <c r="I410" s="14">
        <v>10.860766665087594</v>
      </c>
      <c r="J410" s="16">
        <v>0.83709999999999996</v>
      </c>
      <c r="K410" s="16">
        <v>0.83460000000000001</v>
      </c>
      <c r="L410" s="13">
        <v>0.34660000000000002</v>
      </c>
      <c r="M410" s="13">
        <v>7.2999999999999995E-2</v>
      </c>
      <c r="N410" s="13">
        <v>0.1101</v>
      </c>
      <c r="O410" s="13">
        <v>7.7499999999999999E-2</v>
      </c>
      <c r="P410" s="16">
        <v>0.96040000000000003</v>
      </c>
      <c r="Q410" s="16">
        <v>0.96040000000000003</v>
      </c>
      <c r="R410" s="16">
        <v>0.95140000000000002</v>
      </c>
      <c r="S410" s="16">
        <f t="shared" si="12"/>
        <v>0.95740000000000014</v>
      </c>
      <c r="T410" s="18">
        <v>0.277264325323475</v>
      </c>
      <c r="U410" s="1">
        <v>16.393442619999998</v>
      </c>
      <c r="V410" s="1">
        <f t="shared" si="13"/>
        <v>2.8560932742710206</v>
      </c>
      <c r="W410" s="26"/>
      <c r="X410">
        <v>0.1013</v>
      </c>
      <c r="Y410" s="1">
        <v>0.49330000000000002</v>
      </c>
      <c r="Z410" s="1">
        <v>0.40100000000000002</v>
      </c>
      <c r="AA410" s="1">
        <v>47690</v>
      </c>
      <c r="AB410" s="1">
        <v>610</v>
      </c>
      <c r="AC410" s="29">
        <v>12136</v>
      </c>
    </row>
    <row r="411" spans="1:29">
      <c r="A411" s="12">
        <v>20</v>
      </c>
      <c r="B411" s="12" t="s">
        <v>434</v>
      </c>
      <c r="C411" s="12">
        <v>20175</v>
      </c>
      <c r="D411" s="12" t="s">
        <v>439</v>
      </c>
      <c r="E411" s="17">
        <v>0.93790374207065119</v>
      </c>
      <c r="F411" s="17">
        <v>6.2096257929348773E-2</v>
      </c>
      <c r="G411" s="13">
        <v>0.86629694983614824</v>
      </c>
      <c r="H411" s="13">
        <v>15.096955503512881</v>
      </c>
      <c r="I411" s="14">
        <v>10.444852080610952</v>
      </c>
      <c r="J411" s="16">
        <v>0.83720000000000006</v>
      </c>
      <c r="K411" s="16">
        <v>0.83679999999999999</v>
      </c>
      <c r="L411" s="13">
        <v>0.37759999999999999</v>
      </c>
      <c r="M411" s="13">
        <v>4.3200000000000002E-2</v>
      </c>
      <c r="N411" s="13">
        <v>9.1399999999999995E-2</v>
      </c>
      <c r="O411" s="13">
        <v>6.3399999999999998E-2</v>
      </c>
      <c r="P411" s="16">
        <v>0.65739999999999998</v>
      </c>
      <c r="Q411" s="16">
        <v>0.33979999999999999</v>
      </c>
      <c r="R411" s="16">
        <v>0.30309999999999998</v>
      </c>
      <c r="S411" s="16">
        <f t="shared" si="12"/>
        <v>0.43343333333333334</v>
      </c>
      <c r="T411" s="18">
        <v>0.25914437120330797</v>
      </c>
      <c r="U411" s="1">
        <v>2.9498525070000001</v>
      </c>
      <c r="V411" s="1">
        <f t="shared" si="13"/>
        <v>1.3736782382158754</v>
      </c>
      <c r="W411" s="25"/>
      <c r="X411">
        <v>3.0200000000000001E-2</v>
      </c>
      <c r="Y411" s="1">
        <v>6.2899999999999998E-2</v>
      </c>
      <c r="Z411" s="1">
        <v>6.0999999999999999E-2</v>
      </c>
      <c r="AA411" s="1">
        <v>37732</v>
      </c>
      <c r="AB411" s="1">
        <v>339</v>
      </c>
      <c r="AC411" s="29">
        <v>10196</v>
      </c>
    </row>
    <row r="412" spans="1:29">
      <c r="A412" s="12">
        <v>20</v>
      </c>
      <c r="B412" s="12" t="s">
        <v>434</v>
      </c>
      <c r="C412" s="12">
        <v>20178</v>
      </c>
      <c r="D412" s="12" t="s">
        <v>440</v>
      </c>
      <c r="E412" s="17">
        <v>0.85152532031726658</v>
      </c>
      <c r="F412" s="17">
        <v>0.14847467968273337</v>
      </c>
      <c r="G412" s="13">
        <v>1</v>
      </c>
      <c r="H412" s="13">
        <v>5.7339769926047657</v>
      </c>
      <c r="I412" s="14">
        <v>10.397604358238855</v>
      </c>
      <c r="J412" s="16">
        <v>0.90769999999999995</v>
      </c>
      <c r="K412" s="16">
        <v>0.90690000000000004</v>
      </c>
      <c r="L412" s="13">
        <v>0.41349999999999998</v>
      </c>
      <c r="M412" s="13">
        <v>5.6300000000000003E-2</v>
      </c>
      <c r="N412" s="13">
        <v>8.9700000000000002E-2</v>
      </c>
      <c r="O412" s="13">
        <v>4.3200000000000002E-2</v>
      </c>
      <c r="P412" s="16">
        <v>1</v>
      </c>
      <c r="Q412" s="16">
        <v>1</v>
      </c>
      <c r="R412" s="16">
        <v>1</v>
      </c>
      <c r="S412" s="16">
        <f t="shared" si="12"/>
        <v>1</v>
      </c>
      <c r="T412" s="18">
        <v>0.44030015449128201</v>
      </c>
      <c r="U412" s="1">
        <v>2.72479564</v>
      </c>
      <c r="V412" s="1">
        <f t="shared" si="13"/>
        <v>1.3150119885815958</v>
      </c>
      <c r="W412" s="26"/>
      <c r="X412">
        <v>0.1522</v>
      </c>
      <c r="Y412" s="1">
        <v>0.33169999999999999</v>
      </c>
      <c r="Z412" s="1">
        <v>0.28649999999999998</v>
      </c>
      <c r="AA412" s="1">
        <v>32424</v>
      </c>
      <c r="AB412" s="1">
        <v>367</v>
      </c>
      <c r="AC412" s="29">
        <v>8230</v>
      </c>
    </row>
    <row r="413" spans="1:29">
      <c r="A413" s="12">
        <v>20</v>
      </c>
      <c r="B413" s="12" t="s">
        <v>434</v>
      </c>
      <c r="C413" s="12">
        <v>20228</v>
      </c>
      <c r="D413" s="12" t="s">
        <v>442</v>
      </c>
      <c r="E413" s="17">
        <v>0.89629645949459125</v>
      </c>
      <c r="F413" s="17">
        <v>0.10370354050540879</v>
      </c>
      <c r="G413" s="13">
        <v>1</v>
      </c>
      <c r="H413" s="13">
        <v>8.6410365335598982</v>
      </c>
      <c r="I413" s="14">
        <v>10.723047095450511</v>
      </c>
      <c r="J413" s="16">
        <v>0.84330000000000005</v>
      </c>
      <c r="K413" s="16">
        <v>0.84119999999999995</v>
      </c>
      <c r="L413" s="13">
        <v>0.38600000000000001</v>
      </c>
      <c r="M413" s="13">
        <v>5.67E-2</v>
      </c>
      <c r="N413" s="13">
        <v>7.1099999999999997E-2</v>
      </c>
      <c r="O413" s="13">
        <v>4.7300000000000002E-2</v>
      </c>
      <c r="P413" s="16">
        <v>0.58299999999999996</v>
      </c>
      <c r="Q413" s="16">
        <v>0.52969999999999995</v>
      </c>
      <c r="R413" s="16">
        <v>0.57050000000000001</v>
      </c>
      <c r="S413" s="16">
        <f t="shared" si="12"/>
        <v>0.5610666666666666</v>
      </c>
      <c r="T413" s="18">
        <v>0.41391614629794804</v>
      </c>
      <c r="U413" s="1">
        <v>14.31492843</v>
      </c>
      <c r="V413" s="1">
        <f t="shared" si="13"/>
        <v>2.7288280670776062</v>
      </c>
      <c r="W413" s="26"/>
      <c r="X413">
        <v>5.5599999999999997E-2</v>
      </c>
      <c r="Y413" s="1">
        <v>0.24249999999999999</v>
      </c>
      <c r="Z413" s="1">
        <v>0.2172</v>
      </c>
      <c r="AA413" s="1">
        <v>44811</v>
      </c>
      <c r="AB413" s="1">
        <v>489</v>
      </c>
      <c r="AC413" s="29">
        <v>11170</v>
      </c>
    </row>
    <row r="414" spans="1:29">
      <c r="A414" s="12">
        <v>20</v>
      </c>
      <c r="B414" s="12" t="s">
        <v>434</v>
      </c>
      <c r="C414" s="12">
        <v>20238</v>
      </c>
      <c r="D414" s="12" t="s">
        <v>443</v>
      </c>
      <c r="E414" s="17">
        <v>0.81987071224739383</v>
      </c>
      <c r="F414" s="17">
        <v>0.18010016888940655</v>
      </c>
      <c r="G414" s="13">
        <v>0.98139627925585116</v>
      </c>
      <c r="H414" s="13">
        <v>4.5515680569026831</v>
      </c>
      <c r="I414" s="14">
        <v>10.444153492313001</v>
      </c>
      <c r="J414" s="16">
        <v>0.88990000000000002</v>
      </c>
      <c r="K414" s="16">
        <v>0.88770000000000004</v>
      </c>
      <c r="L414" s="13">
        <v>0.36009999999999998</v>
      </c>
      <c r="M414" s="13">
        <v>6.9800000000000001E-2</v>
      </c>
      <c r="N414" s="13">
        <v>0.1067</v>
      </c>
      <c r="O414" s="13">
        <v>8.5500000000000007E-2</v>
      </c>
      <c r="P414" s="16">
        <v>0.80249999999999999</v>
      </c>
      <c r="Q414" s="16">
        <v>0.78599999999999992</v>
      </c>
      <c r="R414" s="16">
        <v>0.80249999999999999</v>
      </c>
      <c r="S414" s="16">
        <f t="shared" si="12"/>
        <v>0.79700000000000004</v>
      </c>
      <c r="T414" s="18">
        <v>0.66287108580723797</v>
      </c>
      <c r="U414" s="1">
        <v>14.42307692</v>
      </c>
      <c r="V414" s="1">
        <f t="shared" si="13"/>
        <v>2.7358648890855859</v>
      </c>
      <c r="W414" s="25"/>
      <c r="X414">
        <v>0.1147</v>
      </c>
      <c r="Y414" s="1">
        <v>0.22950000000000001</v>
      </c>
      <c r="Z414" s="1">
        <v>0.20660000000000001</v>
      </c>
      <c r="AA414" s="1">
        <v>34776</v>
      </c>
      <c r="AB414" s="1">
        <v>416</v>
      </c>
      <c r="AC414" s="29">
        <v>8671</v>
      </c>
    </row>
    <row r="415" spans="1:29">
      <c r="A415" s="12">
        <v>20</v>
      </c>
      <c r="B415" s="12" t="s">
        <v>434</v>
      </c>
      <c r="C415" s="12">
        <v>20250</v>
      </c>
      <c r="D415" s="12" t="s">
        <v>444</v>
      </c>
      <c r="E415" s="17">
        <v>0.73002773766132545</v>
      </c>
      <c r="F415" s="17">
        <v>0.26997226233867455</v>
      </c>
      <c r="G415" s="13">
        <v>1.0000917031568812</v>
      </c>
      <c r="H415" s="13">
        <v>2.7038546442519951</v>
      </c>
      <c r="I415" s="14">
        <v>10.683362736605897</v>
      </c>
      <c r="J415" s="16">
        <v>0.95469999999999999</v>
      </c>
      <c r="K415" s="16">
        <v>0.95269999999999999</v>
      </c>
      <c r="L415" s="13">
        <v>0.44779999999999998</v>
      </c>
      <c r="M415" s="13">
        <v>6.6500000000000004E-2</v>
      </c>
      <c r="N415" s="13">
        <v>9.0399999999999994E-2</v>
      </c>
      <c r="O415" s="13">
        <v>4.8500000000000001E-2</v>
      </c>
      <c r="P415" s="16">
        <v>1</v>
      </c>
      <c r="Q415" s="16">
        <v>1</v>
      </c>
      <c r="R415" s="16">
        <v>1</v>
      </c>
      <c r="S415" s="16">
        <f t="shared" si="12"/>
        <v>1</v>
      </c>
      <c r="T415" s="18">
        <v>0.28171078727256998</v>
      </c>
      <c r="U415" s="1">
        <v>6.7001675040000004</v>
      </c>
      <c r="V415" s="1">
        <f t="shared" si="13"/>
        <v>2.0412420823892621</v>
      </c>
      <c r="W415" s="26"/>
      <c r="X415">
        <v>0.27560000000000001</v>
      </c>
      <c r="Y415" s="1">
        <v>0.80049999999999999</v>
      </c>
      <c r="Z415" s="1">
        <v>0.58809999999999996</v>
      </c>
      <c r="AA415" s="1">
        <v>45704</v>
      </c>
      <c r="AB415" s="1">
        <v>597</v>
      </c>
      <c r="AC415" s="29">
        <v>13019</v>
      </c>
    </row>
    <row r="416" spans="1:29">
      <c r="A416" s="12">
        <v>20</v>
      </c>
      <c r="B416" s="12" t="s">
        <v>434</v>
      </c>
      <c r="C416" s="12">
        <v>20295</v>
      </c>
      <c r="D416" s="12" t="s">
        <v>445</v>
      </c>
      <c r="E416" s="17">
        <v>0.91466849356778568</v>
      </c>
      <c r="F416" s="17">
        <v>8.5331506432214363E-2</v>
      </c>
      <c r="G416" s="13">
        <v>0.75275040110016045</v>
      </c>
      <c r="H416" s="13">
        <v>10.709447415329768</v>
      </c>
      <c r="I416" s="14">
        <v>9.4832640734524176</v>
      </c>
      <c r="J416" s="16">
        <v>0.6159</v>
      </c>
      <c r="K416" s="16">
        <v>0.6159</v>
      </c>
      <c r="L416" s="13">
        <v>0.27200000000000002</v>
      </c>
      <c r="M416" s="13">
        <v>4.53E-2</v>
      </c>
      <c r="N416" s="13">
        <v>0.1099</v>
      </c>
      <c r="O416" s="13">
        <v>9.06E-2</v>
      </c>
      <c r="P416" s="16">
        <v>1</v>
      </c>
      <c r="Q416" s="16">
        <v>0.78339999999999999</v>
      </c>
      <c r="R416" s="16">
        <v>0.84650000000000003</v>
      </c>
      <c r="S416" s="16">
        <f t="shared" si="12"/>
        <v>0.87663333333333338</v>
      </c>
      <c r="T416" s="18">
        <v>0.47234042553191402</v>
      </c>
      <c r="U416" s="1">
        <v>0</v>
      </c>
      <c r="V416" s="1">
        <f t="shared" si="13"/>
        <v>0</v>
      </c>
      <c r="W416" s="25"/>
      <c r="X416">
        <v>6.1899999999999997E-2</v>
      </c>
      <c r="Y416" s="1">
        <v>0.28410000000000002</v>
      </c>
      <c r="Z416" s="1">
        <v>0.25009999999999999</v>
      </c>
      <c r="AA416" s="1">
        <v>16058</v>
      </c>
      <c r="AB416" s="1">
        <v>105</v>
      </c>
      <c r="AC416" s="29">
        <v>3504</v>
      </c>
    </row>
    <row r="417" spans="1:29">
      <c r="A417" s="12">
        <v>20</v>
      </c>
      <c r="B417" s="12" t="s">
        <v>434</v>
      </c>
      <c r="C417" s="12">
        <v>20310</v>
      </c>
      <c r="D417" s="12" t="s">
        <v>446</v>
      </c>
      <c r="E417" s="17">
        <v>0.96004592422502866</v>
      </c>
      <c r="F417" s="17">
        <v>3.9954075774971294E-2</v>
      </c>
      <c r="G417" s="13">
        <v>0.89077520965432599</v>
      </c>
      <c r="H417" s="13">
        <v>23.89142857142857</v>
      </c>
      <c r="I417" s="14">
        <v>8.3793094840528504</v>
      </c>
      <c r="J417" s="16">
        <v>0.73709999999999998</v>
      </c>
      <c r="K417" s="16">
        <v>0.73709999999999998</v>
      </c>
      <c r="L417" s="13">
        <v>0.26469999999999999</v>
      </c>
      <c r="M417" s="13">
        <v>5.7500000000000002E-2</v>
      </c>
      <c r="N417" s="13">
        <v>0.13350000000000001</v>
      </c>
      <c r="O417" s="13">
        <v>0.1056</v>
      </c>
      <c r="P417" s="16">
        <v>0.96870000000000001</v>
      </c>
      <c r="Q417" s="16">
        <v>0.94840000000000002</v>
      </c>
      <c r="R417" s="16">
        <v>0.89829999999999999</v>
      </c>
      <c r="S417" s="16">
        <f t="shared" si="12"/>
        <v>0.93846666666666667</v>
      </c>
      <c r="T417" s="18">
        <v>0.38848167539267003</v>
      </c>
      <c r="U417" s="1">
        <v>0</v>
      </c>
      <c r="V417" s="1">
        <f t="shared" si="13"/>
        <v>0</v>
      </c>
      <c r="W417" s="26"/>
      <c r="X417">
        <v>1.7899999999999999E-2</v>
      </c>
      <c r="Y417" s="1">
        <v>0.28239999999999998</v>
      </c>
      <c r="Z417" s="1">
        <v>0.2487</v>
      </c>
      <c r="AA417" s="1">
        <v>4928</v>
      </c>
      <c r="AB417" s="1">
        <v>23</v>
      </c>
      <c r="AC417" s="29">
        <v>988</v>
      </c>
    </row>
    <row r="418" spans="1:29">
      <c r="A418" s="12">
        <v>20</v>
      </c>
      <c r="B418" s="12" t="s">
        <v>434</v>
      </c>
      <c r="C418" s="12">
        <v>20383</v>
      </c>
      <c r="D418" s="12" t="s">
        <v>447</v>
      </c>
      <c r="E418" s="17">
        <v>0.87833935018050546</v>
      </c>
      <c r="F418" s="17">
        <v>0.12166064981949458</v>
      </c>
      <c r="G418" s="13">
        <v>0.69381825468389946</v>
      </c>
      <c r="H418" s="13">
        <v>7.2153024911032029</v>
      </c>
      <c r="I418" s="14">
        <v>9.5361127111750985</v>
      </c>
      <c r="J418" s="16">
        <v>0.73480000000000001</v>
      </c>
      <c r="K418" s="16">
        <v>0.73480000000000001</v>
      </c>
      <c r="L418" s="13">
        <v>0.38569999999999999</v>
      </c>
      <c r="M418" s="13">
        <v>5.7500000000000002E-2</v>
      </c>
      <c r="N418" s="13">
        <v>8.8800000000000004E-2</v>
      </c>
      <c r="O418" s="13">
        <v>6.1100000000000002E-2</v>
      </c>
      <c r="P418" s="16">
        <v>0.78079999999999994</v>
      </c>
      <c r="Q418" s="16">
        <v>0.78079999999999994</v>
      </c>
      <c r="R418" s="16">
        <v>0.97719999999999996</v>
      </c>
      <c r="S418" s="16">
        <f t="shared" si="12"/>
        <v>0.84626666666666661</v>
      </c>
      <c r="T418" s="18">
        <v>0.47753201396973205</v>
      </c>
      <c r="U418" s="1">
        <v>7.575757576</v>
      </c>
      <c r="V418" s="1">
        <f t="shared" si="13"/>
        <v>2.148939336205026</v>
      </c>
      <c r="W418" s="25"/>
      <c r="X418">
        <v>0.31480000000000002</v>
      </c>
      <c r="Y418" s="1">
        <v>0.2031</v>
      </c>
      <c r="Z418" s="1">
        <v>0.18490000000000001</v>
      </c>
      <c r="AA418" s="1">
        <v>19514</v>
      </c>
      <c r="AB418" s="1">
        <v>132</v>
      </c>
      <c r="AC418" s="29">
        <v>4604</v>
      </c>
    </row>
    <row r="419" spans="1:29">
      <c r="A419" s="12">
        <v>20</v>
      </c>
      <c r="B419" s="12" t="s">
        <v>434</v>
      </c>
      <c r="C419" s="12">
        <v>20400</v>
      </c>
      <c r="D419" s="12" t="s">
        <v>448</v>
      </c>
      <c r="E419" s="17">
        <v>0.71689804135385649</v>
      </c>
      <c r="F419" s="17">
        <v>0.28310195864614351</v>
      </c>
      <c r="G419" s="13">
        <v>0.87709682165979985</v>
      </c>
      <c r="H419" s="13">
        <v>2.5321087326864675</v>
      </c>
      <c r="I419" s="14">
        <v>10.77241410304393</v>
      </c>
      <c r="J419" s="16">
        <v>0.78420000000000001</v>
      </c>
      <c r="K419" s="16">
        <v>0.78390000000000004</v>
      </c>
      <c r="L419" s="13">
        <v>0.33050000000000002</v>
      </c>
      <c r="M419" s="13">
        <v>4.8800000000000003E-2</v>
      </c>
      <c r="N419" s="13">
        <v>8.9300000000000004E-2</v>
      </c>
      <c r="O419" s="13">
        <v>6.9400000000000003E-2</v>
      </c>
      <c r="P419" s="16">
        <v>0.55430000000000001</v>
      </c>
      <c r="Q419" s="16">
        <v>0.53449999999999998</v>
      </c>
      <c r="R419" s="16">
        <v>0.30079999999999996</v>
      </c>
      <c r="S419" s="16">
        <f t="shared" si="12"/>
        <v>0.4632</v>
      </c>
      <c r="T419" s="18">
        <v>0.46312489688170205</v>
      </c>
      <c r="U419" s="1">
        <v>19.10828025</v>
      </c>
      <c r="V419" s="1">
        <f t="shared" si="13"/>
        <v>3.0011316829721162</v>
      </c>
      <c r="W419" s="26"/>
      <c r="X419">
        <v>0.3095</v>
      </c>
      <c r="Y419" s="1">
        <v>1.3225</v>
      </c>
      <c r="Z419" s="1">
        <v>0.84260000000000002</v>
      </c>
      <c r="AA419" s="1">
        <v>58996</v>
      </c>
      <c r="AB419" s="1">
        <v>471</v>
      </c>
      <c r="AC419" s="29">
        <v>15137</v>
      </c>
    </row>
    <row r="420" spans="1:29" ht="25.5">
      <c r="A420" s="12">
        <v>20</v>
      </c>
      <c r="B420" s="12" t="s">
        <v>434</v>
      </c>
      <c r="C420" s="12">
        <v>20443</v>
      </c>
      <c r="D420" s="12" t="s">
        <v>450</v>
      </c>
      <c r="E420" s="17">
        <v>0.93751620430386307</v>
      </c>
      <c r="F420" s="17">
        <v>6.2483795696136893E-2</v>
      </c>
      <c r="G420" s="13">
        <v>0.98351041223969404</v>
      </c>
      <c r="H420" s="13">
        <v>14.983425414364641</v>
      </c>
      <c r="I420" s="14">
        <v>9.3563436660960253</v>
      </c>
      <c r="J420" s="16">
        <v>0.93420000000000003</v>
      </c>
      <c r="K420" s="16">
        <v>0.93420000000000003</v>
      </c>
      <c r="L420" s="13">
        <v>0.47360000000000002</v>
      </c>
      <c r="M420" s="13">
        <v>3.8399999999999997E-2</v>
      </c>
      <c r="N420" s="13">
        <v>9.6100000000000005E-2</v>
      </c>
      <c r="O420" s="13">
        <v>5.2699999999999997E-2</v>
      </c>
      <c r="P420" s="16">
        <v>0.84739999999999993</v>
      </c>
      <c r="Q420" s="16">
        <v>0.84750000000000003</v>
      </c>
      <c r="R420" s="16">
        <v>0.84750000000000003</v>
      </c>
      <c r="S420" s="16">
        <f t="shared" si="12"/>
        <v>0.8474666666666667</v>
      </c>
      <c r="T420" s="18">
        <v>0.93609022556390897</v>
      </c>
      <c r="U420" s="1">
        <v>0</v>
      </c>
      <c r="V420" s="1">
        <f t="shared" si="13"/>
        <v>0</v>
      </c>
      <c r="W420" s="26"/>
      <c r="X420">
        <v>0.1016</v>
      </c>
      <c r="Y420" s="1">
        <v>0.67669999999999997</v>
      </c>
      <c r="Z420" s="1">
        <v>0.51680000000000004</v>
      </c>
      <c r="AA420" s="1">
        <v>11548</v>
      </c>
      <c r="AB420" s="1">
        <v>131</v>
      </c>
      <c r="AC420" s="29">
        <v>2706</v>
      </c>
    </row>
    <row r="421" spans="1:29">
      <c r="A421" s="12">
        <v>20</v>
      </c>
      <c r="B421" s="12" t="s">
        <v>434</v>
      </c>
      <c r="C421" s="12">
        <v>20517</v>
      </c>
      <c r="D421" s="12" t="s">
        <v>451</v>
      </c>
      <c r="E421" s="17">
        <v>0.92779438631456568</v>
      </c>
      <c r="F421" s="17">
        <v>7.2205613685434308E-2</v>
      </c>
      <c r="G421" s="13">
        <v>1</v>
      </c>
      <c r="H421" s="13">
        <v>12.841954022988507</v>
      </c>
      <c r="I421" s="14">
        <v>10.089344519064321</v>
      </c>
      <c r="J421" s="16">
        <v>0.75180000000000002</v>
      </c>
      <c r="K421" s="16">
        <v>0.75160000000000005</v>
      </c>
      <c r="L421" s="13">
        <v>0.40310000000000001</v>
      </c>
      <c r="M421" s="13">
        <v>3.4700000000000002E-2</v>
      </c>
      <c r="N421" s="13">
        <v>6.6799999999999998E-2</v>
      </c>
      <c r="O421" s="13">
        <v>6.3399999999999998E-2</v>
      </c>
      <c r="P421" s="16">
        <v>0.60580000000000001</v>
      </c>
      <c r="Q421" s="16">
        <v>0.60580000000000001</v>
      </c>
      <c r="R421" s="16">
        <v>0.60289999999999999</v>
      </c>
      <c r="S421" s="16">
        <f t="shared" si="12"/>
        <v>0.60483333333333333</v>
      </c>
      <c r="T421" s="18">
        <v>0.38202247191011202</v>
      </c>
      <c r="U421" s="1">
        <v>4.9504950499999998</v>
      </c>
      <c r="V421" s="1">
        <f t="shared" si="13"/>
        <v>1.7834744177771427</v>
      </c>
      <c r="W421" s="25"/>
      <c r="X421">
        <v>9.0300000000000005E-2</v>
      </c>
      <c r="Y421" s="1">
        <v>0.2253</v>
      </c>
      <c r="Z421" s="1">
        <v>0.20319999999999999</v>
      </c>
      <c r="AA421" s="1">
        <v>21068</v>
      </c>
      <c r="AB421" s="1">
        <v>202</v>
      </c>
      <c r="AC421" s="29">
        <v>5031</v>
      </c>
    </row>
    <row r="422" spans="1:29">
      <c r="A422" s="12">
        <v>20</v>
      </c>
      <c r="B422" s="12" t="s">
        <v>434</v>
      </c>
      <c r="C422" s="12">
        <v>20550</v>
      </c>
      <c r="D422" s="12" t="s">
        <v>452</v>
      </c>
      <c r="E422" s="17">
        <v>0.8848658611509318</v>
      </c>
      <c r="F422" s="17">
        <v>0.1151341388490682</v>
      </c>
      <c r="G422" s="13">
        <v>1</v>
      </c>
      <c r="H422" s="13">
        <v>7.682788051209104</v>
      </c>
      <c r="I422" s="14">
        <v>10.102993934084184</v>
      </c>
      <c r="J422" s="16">
        <v>0.84060000000000001</v>
      </c>
      <c r="K422" s="16">
        <v>0.84060000000000001</v>
      </c>
      <c r="L422" s="13">
        <v>0.42330000000000001</v>
      </c>
      <c r="M422" s="13">
        <v>5.4100000000000002E-2</v>
      </c>
      <c r="N422" s="13">
        <v>7.1199999999999999E-2</v>
      </c>
      <c r="O422" s="13">
        <v>8.8300000000000003E-2</v>
      </c>
      <c r="P422" s="16">
        <v>0.85919999999999996</v>
      </c>
      <c r="Q422" s="16">
        <v>0.85919999999999996</v>
      </c>
      <c r="R422" s="16">
        <v>0.85919999999999996</v>
      </c>
      <c r="S422" s="16">
        <f t="shared" si="12"/>
        <v>0.85919999999999996</v>
      </c>
      <c r="T422" s="18">
        <v>0.59881188118811801</v>
      </c>
      <c r="U422" s="1">
        <v>8.5106382979999999</v>
      </c>
      <c r="V422" s="1">
        <f t="shared" si="13"/>
        <v>2.2524109929169329</v>
      </c>
      <c r="W422" s="26"/>
      <c r="X422">
        <v>2.7799999999999998E-2</v>
      </c>
      <c r="Y422" s="1">
        <v>0.22339999999999999</v>
      </c>
      <c r="Z422" s="1">
        <v>0.20169999999999999</v>
      </c>
      <c r="AA422" s="1">
        <v>24204</v>
      </c>
      <c r="AB422" s="1">
        <v>235</v>
      </c>
      <c r="AC422" s="29">
        <v>6001</v>
      </c>
    </row>
    <row r="423" spans="1:29">
      <c r="A423" s="12">
        <v>20</v>
      </c>
      <c r="B423" s="12" t="s">
        <v>434</v>
      </c>
      <c r="C423" s="12">
        <v>20570</v>
      </c>
      <c r="D423" s="12" t="s">
        <v>453</v>
      </c>
      <c r="E423" s="17">
        <v>0.97478446037187083</v>
      </c>
      <c r="F423" s="17">
        <v>2.5215539628129221E-2</v>
      </c>
      <c r="G423" s="13">
        <v>1</v>
      </c>
      <c r="H423" s="13">
        <v>38.618312757201643</v>
      </c>
      <c r="I423" s="14">
        <v>10.558647259190574</v>
      </c>
      <c r="J423" s="16">
        <v>0.75309999999999999</v>
      </c>
      <c r="K423" s="16">
        <v>0.75309999999999999</v>
      </c>
      <c r="L423" s="13">
        <v>0.1822</v>
      </c>
      <c r="M423" s="13">
        <v>4.3400000000000001E-2</v>
      </c>
      <c r="N423" s="13">
        <v>0.12470000000000001</v>
      </c>
      <c r="O423" s="13">
        <v>8.3299999999999999E-2</v>
      </c>
      <c r="P423" s="16">
        <v>0.65269999999999995</v>
      </c>
      <c r="Q423" s="16">
        <v>0.6038</v>
      </c>
      <c r="R423" s="16">
        <v>0.52349999999999997</v>
      </c>
      <c r="S423" s="16">
        <f t="shared" si="12"/>
        <v>0.59333333333333327</v>
      </c>
      <c r="T423" s="18">
        <v>0.106310885218127</v>
      </c>
      <c r="U423" s="1">
        <v>34.24657534</v>
      </c>
      <c r="V423" s="1">
        <f t="shared" si="13"/>
        <v>3.5623683710633958</v>
      </c>
      <c r="W423" s="25"/>
      <c r="X423">
        <v>2.3E-2</v>
      </c>
      <c r="Y423" s="1">
        <v>0.16109999999999999</v>
      </c>
      <c r="Z423" s="1">
        <v>0.14940000000000001</v>
      </c>
      <c r="AA423" s="1">
        <v>33724</v>
      </c>
      <c r="AB423" s="1">
        <v>292</v>
      </c>
      <c r="AC423" s="29">
        <v>10578</v>
      </c>
    </row>
    <row r="424" spans="1:29">
      <c r="A424" s="12">
        <v>20</v>
      </c>
      <c r="B424" s="12" t="s">
        <v>434</v>
      </c>
      <c r="C424" s="12">
        <v>20614</v>
      </c>
      <c r="D424" s="12" t="s">
        <v>454</v>
      </c>
      <c r="E424" s="17">
        <v>0.94918017936407284</v>
      </c>
      <c r="F424" s="17">
        <v>5.0819820635927167E-2</v>
      </c>
      <c r="G424" s="13">
        <v>0.5644526256583321</v>
      </c>
      <c r="H424" s="13">
        <v>18.644128113879002</v>
      </c>
      <c r="I424" s="14">
        <v>9.3092803198310872</v>
      </c>
      <c r="J424" s="16">
        <v>0.81210000000000004</v>
      </c>
      <c r="K424" s="16">
        <v>0.81210000000000004</v>
      </c>
      <c r="L424" s="13">
        <v>0.35060000000000002</v>
      </c>
      <c r="M424" s="13">
        <v>7.7299999999999994E-2</v>
      </c>
      <c r="N424" s="13">
        <v>0.10349999999999999</v>
      </c>
      <c r="O424" s="13">
        <v>3.7699999999999997E-2</v>
      </c>
      <c r="P424" s="16">
        <v>0.5494</v>
      </c>
      <c r="Q424" s="16">
        <v>0.82889999999999997</v>
      </c>
      <c r="R424" s="16">
        <v>0.92769999999999997</v>
      </c>
      <c r="S424" s="16">
        <f t="shared" si="12"/>
        <v>0.76866666666666672</v>
      </c>
      <c r="T424" s="18">
        <v>0.65913811007268908</v>
      </c>
      <c r="U424" s="1">
        <v>19.047619050000002</v>
      </c>
      <c r="V424" s="1">
        <f t="shared" si="13"/>
        <v>2.9981103960777236</v>
      </c>
      <c r="W424" s="26"/>
      <c r="X424">
        <v>2.4199999999999999E-2</v>
      </c>
      <c r="Y424" s="1">
        <v>0.19389999999999999</v>
      </c>
      <c r="Z424" s="1">
        <v>0.1772</v>
      </c>
      <c r="AA424" s="1">
        <v>19390</v>
      </c>
      <c r="AB424" s="1">
        <v>105</v>
      </c>
      <c r="AC424" s="29">
        <v>3731</v>
      </c>
    </row>
    <row r="425" spans="1:29">
      <c r="A425" s="12">
        <v>20</v>
      </c>
      <c r="B425" s="12" t="s">
        <v>434</v>
      </c>
      <c r="C425" s="12">
        <v>20621</v>
      </c>
      <c r="D425" s="12" t="s">
        <v>449</v>
      </c>
      <c r="E425" s="17">
        <v>0.94230841507873864</v>
      </c>
      <c r="F425" s="17">
        <v>5.7691584921261321E-2</v>
      </c>
      <c r="G425" s="13">
        <v>0.82226960875208599</v>
      </c>
      <c r="H425" s="13">
        <v>16.322916666666668</v>
      </c>
      <c r="I425" s="14">
        <v>10.188967201432709</v>
      </c>
      <c r="J425" s="16">
        <v>0.87490000000000001</v>
      </c>
      <c r="K425" s="16">
        <v>0.87460000000000004</v>
      </c>
      <c r="L425" s="13">
        <v>0.40770000000000001</v>
      </c>
      <c r="M425" s="13">
        <v>6.3E-2</v>
      </c>
      <c r="N425" s="13">
        <v>8.6699999999999999E-2</v>
      </c>
      <c r="O425" s="13">
        <v>5.0999999999999997E-2</v>
      </c>
      <c r="P425" s="16">
        <v>0.77060000000000006</v>
      </c>
      <c r="Q425" s="16">
        <v>0.77060000000000006</v>
      </c>
      <c r="R425" s="16">
        <v>0.77060000000000006</v>
      </c>
      <c r="S425" s="16">
        <f t="shared" si="12"/>
        <v>0.77060000000000006</v>
      </c>
      <c r="T425" s="18">
        <v>1</v>
      </c>
      <c r="U425" s="1">
        <v>3.7313432839999998</v>
      </c>
      <c r="V425" s="1">
        <f t="shared" si="13"/>
        <v>1.5542091545746426</v>
      </c>
      <c r="W425" s="25"/>
      <c r="X425">
        <v>0.16070000000000001</v>
      </c>
      <c r="Y425" s="1">
        <v>0.30840000000000001</v>
      </c>
      <c r="Z425" s="1">
        <v>0.26879999999999998</v>
      </c>
      <c r="AA425" s="1">
        <v>32751</v>
      </c>
      <c r="AB425" s="1">
        <v>268</v>
      </c>
      <c r="AC425" s="29">
        <v>8084</v>
      </c>
    </row>
    <row r="426" spans="1:29">
      <c r="A426" s="12">
        <v>20</v>
      </c>
      <c r="B426" s="12" t="s">
        <v>434</v>
      </c>
      <c r="C426" s="12">
        <v>20710</v>
      </c>
      <c r="D426" s="12" t="s">
        <v>455</v>
      </c>
      <c r="E426" s="17">
        <v>0.60072729514006595</v>
      </c>
      <c r="F426" s="17">
        <v>0.39927270485993405</v>
      </c>
      <c r="G426" s="13">
        <v>1</v>
      </c>
      <c r="H426" s="13">
        <v>1.5044377556533148</v>
      </c>
      <c r="I426" s="14">
        <v>10.387455722132236</v>
      </c>
      <c r="J426" s="16">
        <v>0.78500000000000003</v>
      </c>
      <c r="K426" s="16">
        <v>0.78439999999999999</v>
      </c>
      <c r="L426" s="13">
        <v>0.32640000000000002</v>
      </c>
      <c r="M426" s="13">
        <v>5.9499999999999997E-2</v>
      </c>
      <c r="N426" s="13">
        <v>0.1166</v>
      </c>
      <c r="O426" s="13">
        <v>9.3700000000000006E-2</v>
      </c>
      <c r="P426" s="16">
        <v>0.99299999999999999</v>
      </c>
      <c r="Q426" s="16">
        <v>0.99319999999999997</v>
      </c>
      <c r="R426" s="16">
        <v>0.99280000000000002</v>
      </c>
      <c r="S426" s="16">
        <f t="shared" si="12"/>
        <v>0.99299999999999999</v>
      </c>
      <c r="T426" s="18">
        <v>1</v>
      </c>
      <c r="U426" s="1">
        <v>10.86956522</v>
      </c>
      <c r="V426" s="1">
        <f t="shared" si="13"/>
        <v>2.4739775794755903</v>
      </c>
      <c r="W426" s="25"/>
      <c r="X426">
        <v>6.2899999999999998E-2</v>
      </c>
      <c r="Y426" s="1">
        <v>0.21990000000000001</v>
      </c>
      <c r="Z426" s="1">
        <v>0.19869999999999999</v>
      </c>
      <c r="AA426" s="1">
        <v>31199</v>
      </c>
      <c r="AB426" s="1">
        <v>276</v>
      </c>
      <c r="AC426" s="29">
        <v>6725</v>
      </c>
    </row>
    <row r="427" spans="1:29">
      <c r="A427" s="12">
        <v>20</v>
      </c>
      <c r="B427" s="12" t="s">
        <v>434</v>
      </c>
      <c r="C427" s="12">
        <v>20750</v>
      </c>
      <c r="D427" s="12" t="s">
        <v>456</v>
      </c>
      <c r="E427" s="17">
        <v>0.94081844722648322</v>
      </c>
      <c r="F427" s="17">
        <v>5.9181552773516749E-2</v>
      </c>
      <c r="G427" s="13">
        <v>0.91580187610459052</v>
      </c>
      <c r="H427" s="13">
        <v>15.883876357560569</v>
      </c>
      <c r="I427" s="14">
        <v>9.9139328103976663</v>
      </c>
      <c r="J427" s="16">
        <v>0.88300000000000001</v>
      </c>
      <c r="K427" s="16">
        <v>0.88109999999999999</v>
      </c>
      <c r="L427" s="13">
        <v>0.314</v>
      </c>
      <c r="M427" s="13">
        <v>6.5299999999999997E-2</v>
      </c>
      <c r="N427" s="13">
        <v>0.1061</v>
      </c>
      <c r="O427" s="13">
        <v>6.3600000000000004E-2</v>
      </c>
      <c r="P427" s="16">
        <v>0.85400000000000009</v>
      </c>
      <c r="Q427" s="16">
        <v>0.85400000000000009</v>
      </c>
      <c r="R427" s="16">
        <v>0.85400000000000009</v>
      </c>
      <c r="S427" s="16">
        <f t="shared" si="12"/>
        <v>0.85400000000000009</v>
      </c>
      <c r="T427" s="18">
        <v>0.64528925619834698</v>
      </c>
      <c r="U427" s="1">
        <v>8.658008658</v>
      </c>
      <c r="V427" s="1">
        <f t="shared" si="13"/>
        <v>2.2677874839098426</v>
      </c>
      <c r="W427" s="26"/>
      <c r="X427">
        <v>2.2599999999999999E-2</v>
      </c>
      <c r="Y427" s="1">
        <v>0.34370000000000001</v>
      </c>
      <c r="Z427" s="1">
        <v>0.2954</v>
      </c>
      <c r="AA427" s="1">
        <v>23324</v>
      </c>
      <c r="AB427" s="1">
        <v>231</v>
      </c>
      <c r="AC427" s="29">
        <v>5554</v>
      </c>
    </row>
    <row r="428" spans="1:29">
      <c r="A428" s="12">
        <v>20</v>
      </c>
      <c r="B428" s="12" t="s">
        <v>434</v>
      </c>
      <c r="C428" s="12">
        <v>20770</v>
      </c>
      <c r="D428" s="12" t="s">
        <v>457</v>
      </c>
      <c r="E428" s="17">
        <v>0.74994412575430236</v>
      </c>
      <c r="F428" s="17">
        <v>0.2500558742456977</v>
      </c>
      <c r="G428" s="13">
        <v>0.86427145708582831</v>
      </c>
      <c r="H428" s="13">
        <v>2.9986595174262733</v>
      </c>
      <c r="I428" s="14">
        <v>10.197909361850968</v>
      </c>
      <c r="J428" s="16">
        <v>0.78859999999999997</v>
      </c>
      <c r="K428" s="16">
        <v>0.78800000000000003</v>
      </c>
      <c r="L428" s="13">
        <v>0.30120000000000002</v>
      </c>
      <c r="M428" s="13">
        <v>3.3799999999999997E-2</v>
      </c>
      <c r="N428" s="13">
        <v>0.104</v>
      </c>
      <c r="O428" s="13">
        <v>6.8500000000000005E-2</v>
      </c>
      <c r="P428" s="16">
        <v>0.99219999999999997</v>
      </c>
      <c r="Q428" s="16">
        <v>0.97540000000000004</v>
      </c>
      <c r="R428" s="16">
        <v>0.93420000000000003</v>
      </c>
      <c r="S428" s="16">
        <f t="shared" si="12"/>
        <v>0.96726666666666672</v>
      </c>
      <c r="T428" s="18">
        <v>0.97691552062868292</v>
      </c>
      <c r="U428" s="1">
        <v>14.08450704</v>
      </c>
      <c r="V428" s="1">
        <f t="shared" si="13"/>
        <v>2.7136681932570403</v>
      </c>
      <c r="W428" s="25"/>
      <c r="X428">
        <v>0.2732</v>
      </c>
      <c r="Y428" s="1">
        <v>0.35980000000000001</v>
      </c>
      <c r="Z428" s="1">
        <v>0.30730000000000002</v>
      </c>
      <c r="AA428" s="1">
        <v>33351</v>
      </c>
      <c r="AB428" s="1">
        <v>284</v>
      </c>
      <c r="AC428" s="29">
        <v>7443</v>
      </c>
    </row>
    <row r="429" spans="1:29">
      <c r="A429" s="12">
        <v>20</v>
      </c>
      <c r="B429" s="12" t="s">
        <v>434</v>
      </c>
      <c r="C429" s="12">
        <v>20787</v>
      </c>
      <c r="D429" s="12" t="s">
        <v>458</v>
      </c>
      <c r="E429" s="17">
        <v>0.92879642517031724</v>
      </c>
      <c r="F429" s="17">
        <v>7.12035748296828E-2</v>
      </c>
      <c r="G429" s="13">
        <v>0.76725494604316546</v>
      </c>
      <c r="H429" s="13">
        <v>13.030832476875643</v>
      </c>
      <c r="I429" s="14">
        <v>9.5216413100265971</v>
      </c>
      <c r="J429" s="16">
        <v>0.88180000000000003</v>
      </c>
      <c r="K429" s="16">
        <v>0.88180000000000003</v>
      </c>
      <c r="L429" s="13">
        <v>0.38319999999999999</v>
      </c>
      <c r="M429" s="13">
        <v>4.2500000000000003E-2</v>
      </c>
      <c r="N429" s="13">
        <v>8.2799999999999999E-2</v>
      </c>
      <c r="O429" s="13">
        <v>5.1499999999999997E-2</v>
      </c>
      <c r="P429" s="16">
        <v>0.62729999999999997</v>
      </c>
      <c r="Q429" s="16">
        <v>0.62570000000000003</v>
      </c>
      <c r="R429" s="16">
        <v>0.3337</v>
      </c>
      <c r="S429" s="16">
        <f t="shared" si="12"/>
        <v>0.52890000000000004</v>
      </c>
      <c r="T429" s="18">
        <v>4.5543447890472197E-2</v>
      </c>
      <c r="U429" s="1">
        <v>6.5789473679999997</v>
      </c>
      <c r="V429" s="1">
        <f t="shared" si="13"/>
        <v>2.0253743203540044</v>
      </c>
      <c r="W429" s="26"/>
      <c r="X429">
        <v>4.0399999999999998E-2</v>
      </c>
      <c r="Y429" s="1">
        <v>0.22189999999999999</v>
      </c>
      <c r="Z429" s="1">
        <v>0.20039999999999999</v>
      </c>
      <c r="AA429" s="1">
        <v>16871</v>
      </c>
      <c r="AB429" s="1">
        <v>152</v>
      </c>
      <c r="AC429" s="29">
        <v>4394</v>
      </c>
    </row>
    <row r="430" spans="1:29">
      <c r="A430" s="12">
        <v>23</v>
      </c>
      <c r="B430" s="12" t="s">
        <v>181</v>
      </c>
      <c r="C430" s="12">
        <v>23001</v>
      </c>
      <c r="D430" s="12" t="s">
        <v>504</v>
      </c>
      <c r="E430" s="17">
        <v>0.66644091361900049</v>
      </c>
      <c r="F430" s="17">
        <v>0.333550127926727</v>
      </c>
      <c r="G430" s="13">
        <v>1</v>
      </c>
      <c r="H430" s="13">
        <v>1.9980125264548843</v>
      </c>
      <c r="I430" s="14">
        <v>13.232352564216781</v>
      </c>
      <c r="J430" s="16">
        <v>0.9153</v>
      </c>
      <c r="K430" s="16">
        <v>0.91349999999999998</v>
      </c>
      <c r="L430" s="13">
        <v>0.50829999999999997</v>
      </c>
      <c r="M430" s="13">
        <v>2.98E-2</v>
      </c>
      <c r="N430" s="13">
        <v>0.10630000000000001</v>
      </c>
      <c r="O430" s="13">
        <v>9.9299999999999999E-2</v>
      </c>
      <c r="P430" s="16">
        <v>0.91390000000000005</v>
      </c>
      <c r="Q430" s="16">
        <v>0.81010000000000004</v>
      </c>
      <c r="R430" s="16"/>
      <c r="S430" s="16">
        <f t="shared" si="12"/>
        <v>0.57466666666666677</v>
      </c>
      <c r="T430" s="18">
        <v>0.91946288473144189</v>
      </c>
      <c r="U430" s="1">
        <v>14.49821126</v>
      </c>
      <c r="V430" s="1">
        <f t="shared" si="13"/>
        <v>2.7407246146851656</v>
      </c>
      <c r="W430" s="25"/>
      <c r="X430">
        <v>0.17949999999999999</v>
      </c>
      <c r="Y430" s="1">
        <v>0.87629999999999997</v>
      </c>
      <c r="Z430" s="1">
        <v>0.62929999999999997</v>
      </c>
      <c r="AA430" s="1">
        <v>563597</v>
      </c>
      <c r="AB430" s="1">
        <v>5311</v>
      </c>
      <c r="AC430" s="29">
        <v>111730</v>
      </c>
    </row>
    <row r="431" spans="1:29">
      <c r="A431" s="12">
        <v>23</v>
      </c>
      <c r="B431" s="12" t="s">
        <v>181</v>
      </c>
      <c r="C431" s="12">
        <v>23068</v>
      </c>
      <c r="D431" s="12" t="s">
        <v>491</v>
      </c>
      <c r="E431" s="17">
        <v>0.91179353848776745</v>
      </c>
      <c r="F431" s="17">
        <v>8.8206461512232548E-2</v>
      </c>
      <c r="G431" s="13">
        <v>0.95391433392287206</v>
      </c>
      <c r="H431" s="13">
        <v>10.334541062801932</v>
      </c>
      <c r="I431" s="14">
        <v>10.75630586145471</v>
      </c>
      <c r="J431" s="16">
        <v>0.8609</v>
      </c>
      <c r="K431" s="16">
        <v>0.86009999999999998</v>
      </c>
      <c r="L431" s="13">
        <v>0.41349999999999998</v>
      </c>
      <c r="M431" s="13">
        <v>3.3000000000000002E-2</v>
      </c>
      <c r="N431" s="13">
        <v>0.1021</v>
      </c>
      <c r="O431" s="13">
        <v>6.7799999999999999E-2</v>
      </c>
      <c r="P431" s="16">
        <v>1</v>
      </c>
      <c r="Q431" s="16">
        <v>1</v>
      </c>
      <c r="R431" s="16">
        <v>1</v>
      </c>
      <c r="S431" s="16">
        <f t="shared" si="12"/>
        <v>1</v>
      </c>
      <c r="T431" s="18">
        <v>0.326647564469914</v>
      </c>
      <c r="U431" s="1">
        <v>22.298456259999998</v>
      </c>
      <c r="V431" s="1">
        <f t="shared" si="13"/>
        <v>3.1483871034410771</v>
      </c>
      <c r="W431" s="25"/>
      <c r="X431">
        <v>2.53E-2</v>
      </c>
      <c r="Y431" s="1">
        <v>7.0300000000000001E-2</v>
      </c>
      <c r="Z431" s="1">
        <v>6.8000000000000005E-2</v>
      </c>
      <c r="AA431" s="1">
        <v>49883</v>
      </c>
      <c r="AB431" s="1">
        <v>583</v>
      </c>
      <c r="AC431" s="29">
        <v>12276</v>
      </c>
    </row>
    <row r="432" spans="1:29">
      <c r="A432" s="12">
        <v>23</v>
      </c>
      <c r="B432" s="12" t="s">
        <v>181</v>
      </c>
      <c r="C432" s="12">
        <v>23079</v>
      </c>
      <c r="D432" s="12" t="s">
        <v>225</v>
      </c>
      <c r="E432" s="17">
        <v>0.88226337246426645</v>
      </c>
      <c r="F432" s="17">
        <v>0.11773662753573358</v>
      </c>
      <c r="G432" s="13">
        <v>0.8938402774728893</v>
      </c>
      <c r="H432" s="13">
        <v>7.4904086738949127</v>
      </c>
      <c r="I432" s="14">
        <v>9.9213274706644583</v>
      </c>
      <c r="J432" s="16">
        <v>0.80889999999999995</v>
      </c>
      <c r="K432" s="16">
        <v>0.80869999999999997</v>
      </c>
      <c r="L432" s="13">
        <v>0.4506</v>
      </c>
      <c r="M432" s="13">
        <v>3.8100000000000002E-2</v>
      </c>
      <c r="N432" s="13">
        <v>9.6500000000000002E-2</v>
      </c>
      <c r="O432" s="13">
        <v>6.6199999999999995E-2</v>
      </c>
      <c r="P432" s="16">
        <v>0.94640000000000002</v>
      </c>
      <c r="Q432" s="16">
        <v>0.72650000000000003</v>
      </c>
      <c r="R432" s="16">
        <v>0.71120000000000005</v>
      </c>
      <c r="S432" s="16">
        <f t="shared" si="12"/>
        <v>0.79470000000000007</v>
      </c>
      <c r="T432" s="18">
        <v>0.76138613861386106</v>
      </c>
      <c r="U432" s="1">
        <v>14.218009479999999</v>
      </c>
      <c r="V432" s="1">
        <f t="shared" si="13"/>
        <v>2.7224795607006476</v>
      </c>
      <c r="W432" s="26"/>
      <c r="X432">
        <v>4.0599999999999997E-2</v>
      </c>
      <c r="Y432" s="1">
        <v>0.1038</v>
      </c>
      <c r="Z432" s="1">
        <v>9.8799999999999999E-2</v>
      </c>
      <c r="AA432" s="1">
        <v>22295</v>
      </c>
      <c r="AB432" s="1">
        <v>211</v>
      </c>
      <c r="AC432" s="29">
        <v>5307</v>
      </c>
    </row>
    <row r="433" spans="1:29">
      <c r="A433" s="12">
        <v>23</v>
      </c>
      <c r="B433" s="12" t="s">
        <v>181</v>
      </c>
      <c r="C433" s="12">
        <v>23090</v>
      </c>
      <c r="D433" s="12" t="s">
        <v>492</v>
      </c>
      <c r="E433" s="17">
        <v>0.92793025175402388</v>
      </c>
      <c r="F433" s="17">
        <v>7.2069748245976062E-2</v>
      </c>
      <c r="G433" s="13">
        <v>1</v>
      </c>
      <c r="H433" s="13">
        <v>12.866237482117311</v>
      </c>
      <c r="I433" s="14">
        <v>9.8722548501050298</v>
      </c>
      <c r="J433" s="16">
        <v>0.96460000000000001</v>
      </c>
      <c r="K433" s="16">
        <v>0.96460000000000001</v>
      </c>
      <c r="L433" s="13">
        <v>0.41210000000000002</v>
      </c>
      <c r="M433" s="13">
        <v>3.4099999999999998E-2</v>
      </c>
      <c r="N433" s="13">
        <v>0.1346</v>
      </c>
      <c r="O433" s="13">
        <v>8.1100000000000005E-2</v>
      </c>
      <c r="P433" s="16">
        <v>0.75609999999999999</v>
      </c>
      <c r="Q433" s="16">
        <v>0.72970000000000002</v>
      </c>
      <c r="R433" s="16">
        <v>0.72970000000000002</v>
      </c>
      <c r="S433" s="16">
        <f t="shared" si="12"/>
        <v>0.73850000000000005</v>
      </c>
      <c r="T433" s="18">
        <v>0.84636488340192007</v>
      </c>
      <c r="U433" s="1">
        <v>32.432432429999999</v>
      </c>
      <c r="V433" s="1">
        <f t="shared" si="13"/>
        <v>3.5095264596755067</v>
      </c>
      <c r="W433" s="25"/>
      <c r="X433">
        <v>3.73E-2</v>
      </c>
      <c r="Y433" s="1">
        <v>7.5600000000000001E-2</v>
      </c>
      <c r="Z433" s="1">
        <v>7.2900000000000006E-2</v>
      </c>
      <c r="AA433" s="1">
        <v>16420</v>
      </c>
      <c r="AB433" s="1">
        <v>185</v>
      </c>
      <c r="AC433" s="29">
        <v>3941</v>
      </c>
    </row>
    <row r="434" spans="1:29">
      <c r="A434" s="12">
        <v>23</v>
      </c>
      <c r="B434" s="12" t="s">
        <v>181</v>
      </c>
      <c r="C434" s="12">
        <v>23162</v>
      </c>
      <c r="D434" s="12" t="s">
        <v>493</v>
      </c>
      <c r="E434" s="17">
        <v>0.7635096039838748</v>
      </c>
      <c r="F434" s="17">
        <v>0.23646193976760729</v>
      </c>
      <c r="G434" s="13">
        <v>0.92392161674232731</v>
      </c>
      <c r="H434" s="13">
        <v>3.228760529482551</v>
      </c>
      <c r="I434" s="14">
        <v>11.565764563985947</v>
      </c>
      <c r="J434" s="16">
        <v>0.88060000000000005</v>
      </c>
      <c r="K434" s="16">
        <v>0.87909999999999999</v>
      </c>
      <c r="L434" s="13">
        <v>0.55049999999999999</v>
      </c>
      <c r="M434" s="13">
        <v>3.1699999999999999E-2</v>
      </c>
      <c r="N434" s="13">
        <v>0.1089</v>
      </c>
      <c r="O434" s="13">
        <v>7.0999999999999994E-2</v>
      </c>
      <c r="P434" s="16">
        <v>0.98670000000000002</v>
      </c>
      <c r="Q434" s="16">
        <v>0.92130000000000001</v>
      </c>
      <c r="R434" s="16">
        <v>0.97750000000000004</v>
      </c>
      <c r="S434" s="16">
        <f t="shared" si="12"/>
        <v>0.96183333333333332</v>
      </c>
      <c r="T434" s="18">
        <v>0.91580421757061703</v>
      </c>
      <c r="U434" s="1">
        <v>9.7323600970000008</v>
      </c>
      <c r="V434" s="1">
        <f t="shared" si="13"/>
        <v>2.3732634855785535</v>
      </c>
      <c r="W434" s="26"/>
      <c r="X434">
        <v>5.28E-2</v>
      </c>
      <c r="Y434" s="1">
        <v>2.3511000000000002</v>
      </c>
      <c r="Z434" s="1">
        <v>1.2093</v>
      </c>
      <c r="AA434" s="1">
        <v>119389</v>
      </c>
      <c r="AB434" s="1">
        <v>822</v>
      </c>
      <c r="AC434" s="29">
        <v>22741</v>
      </c>
    </row>
    <row r="435" spans="1:29">
      <c r="A435" s="12">
        <v>23</v>
      </c>
      <c r="B435" s="12" t="s">
        <v>181</v>
      </c>
      <c r="C435" s="12">
        <v>23168</v>
      </c>
      <c r="D435" s="12" t="s">
        <v>494</v>
      </c>
      <c r="E435" s="17">
        <v>0.94782792367809621</v>
      </c>
      <c r="F435" s="17">
        <v>5.2172076321903821E-2</v>
      </c>
      <c r="G435" s="13">
        <v>0.74677953625322047</v>
      </c>
      <c r="H435" s="13">
        <v>18.142857142857142</v>
      </c>
      <c r="I435" s="14">
        <v>9.561278894062978</v>
      </c>
      <c r="J435" s="16">
        <v>0.66659999999999997</v>
      </c>
      <c r="K435" s="16">
        <v>0.66600000000000004</v>
      </c>
      <c r="L435" s="13">
        <v>0.37880000000000003</v>
      </c>
      <c r="M435" s="13">
        <v>2.87E-2</v>
      </c>
      <c r="N435" s="13">
        <v>9.4700000000000006E-2</v>
      </c>
      <c r="O435" s="13">
        <v>3.5700000000000003E-2</v>
      </c>
      <c r="P435" s="16">
        <v>0.85860000000000003</v>
      </c>
      <c r="Q435" s="16">
        <v>0.70469999999999999</v>
      </c>
      <c r="R435" s="16">
        <v>0.79400000000000004</v>
      </c>
      <c r="S435" s="16">
        <f t="shared" si="12"/>
        <v>0.78576666666666661</v>
      </c>
      <c r="T435" s="18">
        <v>0.55090220539095502</v>
      </c>
      <c r="U435" s="1">
        <v>10.204081629999999</v>
      </c>
      <c r="V435" s="1">
        <f t="shared" si="13"/>
        <v>2.4162781431621099</v>
      </c>
      <c r="W435" s="25"/>
      <c r="X435">
        <v>7.7000000000000002E-3</v>
      </c>
      <c r="Y435" s="1">
        <v>0.18360000000000001</v>
      </c>
      <c r="Z435" s="1">
        <v>0.16850000000000001</v>
      </c>
      <c r="AA435" s="1">
        <v>19407</v>
      </c>
      <c r="AB435" s="1">
        <v>98</v>
      </c>
      <c r="AC435" s="29">
        <v>3845</v>
      </c>
    </row>
    <row r="436" spans="1:29">
      <c r="A436" s="12">
        <v>23</v>
      </c>
      <c r="B436" s="12" t="s">
        <v>181</v>
      </c>
      <c r="C436" s="12">
        <v>23182</v>
      </c>
      <c r="D436" s="12" t="s">
        <v>495</v>
      </c>
      <c r="E436" s="17">
        <v>0.90733313631950019</v>
      </c>
      <c r="F436" s="17">
        <v>9.2666863680499853E-2</v>
      </c>
      <c r="G436" s="13">
        <v>0.91740738589050908</v>
      </c>
      <c r="H436" s="13">
        <v>9.7891140970166255</v>
      </c>
      <c r="I436" s="14">
        <v>10.765849942384728</v>
      </c>
      <c r="J436" s="16">
        <v>0.96299999999999997</v>
      </c>
      <c r="K436" s="16">
        <v>0.96179999999999999</v>
      </c>
      <c r="L436" s="13">
        <v>0.55800000000000005</v>
      </c>
      <c r="M436" s="13">
        <v>3.15E-2</v>
      </c>
      <c r="N436" s="13">
        <v>0.10249999999999999</v>
      </c>
      <c r="O436" s="13">
        <v>5.9499999999999997E-2</v>
      </c>
      <c r="P436" s="16">
        <v>0.6926000000000001</v>
      </c>
      <c r="Q436" s="16">
        <v>0.64319999999999988</v>
      </c>
      <c r="R436" s="16">
        <v>0.61240000000000006</v>
      </c>
      <c r="S436" s="16">
        <f t="shared" si="12"/>
        <v>0.64939999999999998</v>
      </c>
      <c r="T436" s="18">
        <v>0.6746529562982001</v>
      </c>
      <c r="U436" s="1">
        <v>8.9552238810000002</v>
      </c>
      <c r="V436" s="1">
        <f t="shared" si="13"/>
        <v>2.2980974265651373</v>
      </c>
      <c r="W436" s="26"/>
      <c r="X436">
        <v>7.2099999999999997E-2</v>
      </c>
      <c r="Y436" s="1">
        <v>0.61860000000000004</v>
      </c>
      <c r="Z436" s="1">
        <v>0.48149999999999998</v>
      </c>
      <c r="AA436" s="1">
        <v>52071</v>
      </c>
      <c r="AB436" s="1">
        <v>335</v>
      </c>
      <c r="AC436" s="29">
        <v>9771</v>
      </c>
    </row>
    <row r="437" spans="1:29">
      <c r="A437" s="12">
        <v>23</v>
      </c>
      <c r="B437" s="12" t="s">
        <v>181</v>
      </c>
      <c r="C437" s="12">
        <v>23189</v>
      </c>
      <c r="D437" s="12" t="s">
        <v>496</v>
      </c>
      <c r="E437" s="17">
        <v>0.8823633782824698</v>
      </c>
      <c r="F437" s="17">
        <v>0.11763662171753016</v>
      </c>
      <c r="G437" s="13">
        <v>0.97309684507926542</v>
      </c>
      <c r="H437" s="13">
        <v>7.4997258020290651</v>
      </c>
      <c r="I437" s="14">
        <v>11.034841275759762</v>
      </c>
      <c r="J437" s="16">
        <v>0.89039999999999997</v>
      </c>
      <c r="K437" s="16">
        <v>0.88980000000000004</v>
      </c>
      <c r="L437" s="13">
        <v>0.51229999999999998</v>
      </c>
      <c r="M437" s="13">
        <v>4.2799999999999998E-2</v>
      </c>
      <c r="N437" s="13">
        <v>0.11840000000000001</v>
      </c>
      <c r="O437" s="13">
        <v>8.1299999999999997E-2</v>
      </c>
      <c r="P437" s="16">
        <v>0.57299999999999995</v>
      </c>
      <c r="Q437" s="16">
        <v>0.45960000000000001</v>
      </c>
      <c r="R437" s="16">
        <v>0.46600000000000003</v>
      </c>
      <c r="S437" s="16">
        <f t="shared" si="12"/>
        <v>0.49953333333333333</v>
      </c>
      <c r="T437" s="18">
        <v>0.73908007941760401</v>
      </c>
      <c r="U437" s="1">
        <v>13.182674199999999</v>
      </c>
      <c r="V437" s="1">
        <f t="shared" si="13"/>
        <v>2.6520210928859695</v>
      </c>
      <c r="W437" s="25"/>
      <c r="X437">
        <v>7.7899999999999997E-2</v>
      </c>
      <c r="Y437" s="1">
        <v>0.61650000000000005</v>
      </c>
      <c r="Z437" s="1">
        <v>0.4803</v>
      </c>
      <c r="AA437" s="1">
        <v>62594</v>
      </c>
      <c r="AB437" s="1">
        <v>531</v>
      </c>
      <c r="AC437" s="29">
        <v>12857</v>
      </c>
    </row>
    <row r="438" spans="1:29">
      <c r="A438" s="12">
        <v>23</v>
      </c>
      <c r="B438" s="12" t="s">
        <v>181</v>
      </c>
      <c r="C438" s="12">
        <v>23300</v>
      </c>
      <c r="D438" s="12" t="s">
        <v>497</v>
      </c>
      <c r="E438" s="17">
        <v>0.90909090909090906</v>
      </c>
      <c r="F438" s="17">
        <v>9.0909090909090912E-2</v>
      </c>
      <c r="G438" s="13">
        <v>0.88587009445905152</v>
      </c>
      <c r="H438" s="13">
        <v>9.9939577039274923</v>
      </c>
      <c r="I438" s="14">
        <v>9.8089021100462599</v>
      </c>
      <c r="J438" s="16">
        <v>0.72729999999999995</v>
      </c>
      <c r="K438" s="16">
        <v>0.7268</v>
      </c>
      <c r="L438" s="13">
        <v>0.3715</v>
      </c>
      <c r="M438" s="13">
        <v>2.53E-2</v>
      </c>
      <c r="N438" s="13">
        <v>0.1145</v>
      </c>
      <c r="O438" s="13">
        <v>0.1135</v>
      </c>
      <c r="P438" s="16">
        <v>0.8801000000000001</v>
      </c>
      <c r="Q438" s="16">
        <v>0.62409999999999999</v>
      </c>
      <c r="R438" s="16">
        <v>0.49070000000000003</v>
      </c>
      <c r="S438" s="16">
        <f t="shared" si="12"/>
        <v>0.66496666666666659</v>
      </c>
      <c r="T438" s="18">
        <v>0.45323173935890698</v>
      </c>
      <c r="U438" s="1">
        <v>0</v>
      </c>
      <c r="V438" s="1">
        <f t="shared" si="13"/>
        <v>0</v>
      </c>
      <c r="W438" s="26"/>
      <c r="X438">
        <v>1.8200000000000001E-2</v>
      </c>
      <c r="Y438" s="1">
        <v>0.59119999999999995</v>
      </c>
      <c r="Z438" s="1">
        <v>0.46450000000000002</v>
      </c>
      <c r="AA438" s="1">
        <v>21334</v>
      </c>
      <c r="AB438" s="1">
        <v>152</v>
      </c>
      <c r="AC438" s="29">
        <v>4191</v>
      </c>
    </row>
    <row r="439" spans="1:29">
      <c r="A439" s="12">
        <v>23</v>
      </c>
      <c r="B439" s="12" t="s">
        <v>181</v>
      </c>
      <c r="C439" s="12">
        <v>23350</v>
      </c>
      <c r="D439" s="12" t="s">
        <v>498</v>
      </c>
      <c r="E439" s="17">
        <v>0.91920779629047467</v>
      </c>
      <c r="F439" s="17">
        <v>8.0792203709525306E-2</v>
      </c>
      <c r="G439" s="13">
        <v>0.8050107554093382</v>
      </c>
      <c r="H439" s="13">
        <v>11.366375121477162</v>
      </c>
      <c r="I439" s="14">
        <v>9.4513238414187235</v>
      </c>
      <c r="J439" s="16">
        <v>0.81620000000000004</v>
      </c>
      <c r="K439" s="16">
        <v>0.81479999999999997</v>
      </c>
      <c r="L439" s="13">
        <v>0.43619999999999998</v>
      </c>
      <c r="M439" s="13">
        <v>4.6100000000000002E-2</v>
      </c>
      <c r="N439" s="13">
        <v>0.1176</v>
      </c>
      <c r="O439" s="13">
        <v>6.5600000000000006E-2</v>
      </c>
      <c r="P439" s="16">
        <v>0</v>
      </c>
      <c r="Q439" s="16">
        <v>0</v>
      </c>
      <c r="R439" s="16">
        <v>0</v>
      </c>
      <c r="S439" s="16">
        <f t="shared" si="12"/>
        <v>0</v>
      </c>
      <c r="T439" s="18">
        <v>0.18</v>
      </c>
      <c r="U439" s="1">
        <v>0</v>
      </c>
      <c r="V439" s="1">
        <f t="shared" si="13"/>
        <v>0</v>
      </c>
      <c r="W439" s="25"/>
      <c r="X439">
        <v>2.5700000000000001E-2</v>
      </c>
      <c r="Y439" s="1">
        <v>0.2092</v>
      </c>
      <c r="Z439" s="1">
        <v>0.19</v>
      </c>
      <c r="AA439" s="1">
        <v>16297</v>
      </c>
      <c r="AB439" s="1">
        <v>135</v>
      </c>
      <c r="AC439" s="29">
        <v>3701</v>
      </c>
    </row>
    <row r="440" spans="1:29">
      <c r="A440" s="12">
        <v>23</v>
      </c>
      <c r="B440" s="12" t="s">
        <v>181</v>
      </c>
      <c r="C440" s="12">
        <v>23417</v>
      </c>
      <c r="D440" s="12" t="s">
        <v>499</v>
      </c>
      <c r="E440" s="17">
        <v>0.86361755625576875</v>
      </c>
      <c r="F440" s="17">
        <v>0.136374486775518</v>
      </c>
      <c r="G440" s="13">
        <v>1</v>
      </c>
      <c r="H440" s="13">
        <v>6.3323220536756128</v>
      </c>
      <c r="I440" s="14">
        <v>11.741470402498203</v>
      </c>
      <c r="J440" s="16">
        <v>0.96330000000000005</v>
      </c>
      <c r="K440" s="16">
        <v>0.96250000000000002</v>
      </c>
      <c r="L440" s="13">
        <v>0.6129</v>
      </c>
      <c r="M440" s="13">
        <v>4.0300000000000002E-2</v>
      </c>
      <c r="N440" s="13">
        <v>7.6399999999999996E-2</v>
      </c>
      <c r="O440" s="13">
        <v>6.2700000000000006E-2</v>
      </c>
      <c r="P440" s="16">
        <v>0.91159999999999997</v>
      </c>
      <c r="Q440" s="16">
        <v>0.64489999999999992</v>
      </c>
      <c r="R440" s="16">
        <v>0.70430000000000004</v>
      </c>
      <c r="S440" s="16">
        <f t="shared" si="12"/>
        <v>0.75359999999999994</v>
      </c>
      <c r="T440" s="18">
        <v>0.58627174424071393</v>
      </c>
      <c r="U440" s="1">
        <v>10.819165379999999</v>
      </c>
      <c r="V440" s="1">
        <f t="shared" si="13"/>
        <v>2.469722398655787</v>
      </c>
      <c r="W440" s="26"/>
      <c r="X440">
        <v>3.32E-2</v>
      </c>
      <c r="Y440" s="1">
        <v>0.39460000000000001</v>
      </c>
      <c r="Z440" s="1">
        <v>0.33260000000000001</v>
      </c>
      <c r="AA440" s="1">
        <v>120346</v>
      </c>
      <c r="AB440" s="1">
        <v>1294</v>
      </c>
      <c r="AC440" s="29">
        <v>24453</v>
      </c>
    </row>
    <row r="441" spans="1:29">
      <c r="A441" s="12">
        <v>23</v>
      </c>
      <c r="B441" s="12" t="s">
        <v>181</v>
      </c>
      <c r="C441" s="12">
        <v>23419</v>
      </c>
      <c r="D441" s="12" t="s">
        <v>500</v>
      </c>
      <c r="E441" s="17">
        <v>0.95642818719741796</v>
      </c>
      <c r="F441" s="17">
        <v>4.357181280258203E-2</v>
      </c>
      <c r="G441" s="13">
        <v>0.82260681449432127</v>
      </c>
      <c r="H441" s="13">
        <v>21.920547945205481</v>
      </c>
      <c r="I441" s="14">
        <v>9.7250783325620898</v>
      </c>
      <c r="J441" s="16">
        <v>0.75390000000000001</v>
      </c>
      <c r="K441" s="16">
        <v>0.75329999999999997</v>
      </c>
      <c r="L441" s="13">
        <v>0.33200000000000002</v>
      </c>
      <c r="M441" s="13">
        <v>4.87E-2</v>
      </c>
      <c r="N441" s="13">
        <v>0.1008</v>
      </c>
      <c r="O441" s="13">
        <v>5.4300000000000001E-2</v>
      </c>
      <c r="P441" s="16">
        <v>1</v>
      </c>
      <c r="Q441" s="16">
        <v>1</v>
      </c>
      <c r="R441" s="16">
        <v>1</v>
      </c>
      <c r="S441" s="16">
        <f t="shared" si="12"/>
        <v>1</v>
      </c>
      <c r="T441" s="18">
        <v>0.35289310232101995</v>
      </c>
      <c r="U441" s="1">
        <v>20</v>
      </c>
      <c r="V441" s="1">
        <f t="shared" si="13"/>
        <v>3.044522437723423</v>
      </c>
      <c r="W441" s="25"/>
      <c r="X441">
        <v>1.6E-2</v>
      </c>
      <c r="Y441" s="1">
        <v>0.1643</v>
      </c>
      <c r="Z441" s="1">
        <v>0.15210000000000001</v>
      </c>
      <c r="AA441" s="1">
        <v>19217</v>
      </c>
      <c r="AB441" s="1">
        <v>150</v>
      </c>
      <c r="AC441" s="29">
        <v>4572</v>
      </c>
    </row>
    <row r="442" spans="1:29">
      <c r="A442" s="12">
        <v>23</v>
      </c>
      <c r="B442" s="12" t="s">
        <v>181</v>
      </c>
      <c r="C442" s="12">
        <v>23464</v>
      </c>
      <c r="D442" s="12" t="s">
        <v>501</v>
      </c>
      <c r="E442" s="17">
        <v>0.92224420905598881</v>
      </c>
      <c r="F442" s="17">
        <v>7.775579094401118E-2</v>
      </c>
      <c r="G442" s="13">
        <v>0.81454442021427897</v>
      </c>
      <c r="H442" s="13">
        <v>11.851907255048616</v>
      </c>
      <c r="I442" s="14">
        <v>9.751675801946746</v>
      </c>
      <c r="J442" s="16">
        <v>0.68869999999999998</v>
      </c>
      <c r="K442" s="16">
        <v>0.6885</v>
      </c>
      <c r="L442" s="13">
        <v>0.38090000000000002</v>
      </c>
      <c r="M442" s="13">
        <v>1.3299999999999999E-2</v>
      </c>
      <c r="N442" s="13">
        <v>6.9400000000000003E-2</v>
      </c>
      <c r="O442" s="13">
        <v>6.83E-2</v>
      </c>
      <c r="P442" s="16">
        <v>0</v>
      </c>
      <c r="Q442" s="16">
        <v>0</v>
      </c>
      <c r="R442" s="16">
        <v>0</v>
      </c>
      <c r="S442" s="16">
        <f t="shared" si="12"/>
        <v>0</v>
      </c>
      <c r="T442" s="18">
        <v>0.39741379310344799</v>
      </c>
      <c r="U442" s="1">
        <v>17.751479289999999</v>
      </c>
      <c r="V442" s="1">
        <f t="shared" si="13"/>
        <v>2.9312726447710027</v>
      </c>
      <c r="W442" s="26"/>
      <c r="X442">
        <v>2.1700000000000001E-2</v>
      </c>
      <c r="Y442" s="1">
        <v>0.63380000000000003</v>
      </c>
      <c r="Z442" s="1">
        <v>0.4909</v>
      </c>
      <c r="AA442" s="1">
        <v>22186</v>
      </c>
      <c r="AB442" s="1">
        <v>169</v>
      </c>
      <c r="AC442" s="29">
        <v>4553</v>
      </c>
    </row>
    <row r="443" spans="1:29">
      <c r="A443" s="12">
        <v>23</v>
      </c>
      <c r="B443" s="12" t="s">
        <v>181</v>
      </c>
      <c r="C443" s="12">
        <v>23466</v>
      </c>
      <c r="D443" s="12" t="s">
        <v>503</v>
      </c>
      <c r="E443" s="17">
        <v>0.74500429619511332</v>
      </c>
      <c r="F443" s="17">
        <v>0.25496265615016855</v>
      </c>
      <c r="G443" s="13">
        <v>1</v>
      </c>
      <c r="H443" s="13">
        <v>2.9218871511276245</v>
      </c>
      <c r="I443" s="14">
        <v>11.416183260307571</v>
      </c>
      <c r="J443" s="16">
        <v>0.89859999999999995</v>
      </c>
      <c r="K443" s="16">
        <v>0.89559999999999995</v>
      </c>
      <c r="L443" s="13">
        <v>0.50639999999999996</v>
      </c>
      <c r="M443" s="13">
        <v>3.4299999999999997E-2</v>
      </c>
      <c r="N443" s="13">
        <v>0.106</v>
      </c>
      <c r="O443" s="13">
        <v>5.8599999999999999E-2</v>
      </c>
      <c r="P443" s="16">
        <v>0.74670000000000003</v>
      </c>
      <c r="Q443" s="16">
        <v>0.72160000000000002</v>
      </c>
      <c r="R443" s="16">
        <v>0.79339999999999999</v>
      </c>
      <c r="S443" s="16">
        <f t="shared" si="12"/>
        <v>0.75390000000000013</v>
      </c>
      <c r="T443" s="18">
        <v>0.52176436448055707</v>
      </c>
      <c r="U443" s="1">
        <v>9.1370558380000002</v>
      </c>
      <c r="V443" s="1">
        <f t="shared" si="13"/>
        <v>2.3161976047208914</v>
      </c>
      <c r="W443" s="26"/>
      <c r="X443">
        <v>0.111</v>
      </c>
      <c r="Y443" s="1">
        <v>0.2475</v>
      </c>
      <c r="Z443" s="1">
        <v>0.22120000000000001</v>
      </c>
      <c r="AA443" s="1">
        <v>87467</v>
      </c>
      <c r="AB443" s="1">
        <v>985</v>
      </c>
      <c r="AC443" s="29">
        <v>21501</v>
      </c>
    </row>
    <row r="444" spans="1:29">
      <c r="A444" s="12">
        <v>23</v>
      </c>
      <c r="B444" s="12" t="s">
        <v>181</v>
      </c>
      <c r="C444" s="12">
        <v>23500</v>
      </c>
      <c r="D444" s="12" t="s">
        <v>502</v>
      </c>
      <c r="E444" s="17">
        <v>0.9415154134255258</v>
      </c>
      <c r="F444" s="17">
        <v>5.8484586574474216E-2</v>
      </c>
      <c r="G444" s="13">
        <v>0.85666687233911276</v>
      </c>
      <c r="H444" s="13">
        <v>16.088615384615384</v>
      </c>
      <c r="I444" s="14">
        <v>10.231675569569644</v>
      </c>
      <c r="J444" s="16">
        <v>0.75609999999999999</v>
      </c>
      <c r="K444" s="16">
        <v>0.75539999999999996</v>
      </c>
      <c r="L444" s="13">
        <v>0.41710000000000003</v>
      </c>
      <c r="M444" s="13">
        <v>2.9499999999999998E-2</v>
      </c>
      <c r="N444" s="13">
        <v>0.1106</v>
      </c>
      <c r="O444" s="13">
        <v>8.9099999999999999E-2</v>
      </c>
      <c r="P444" s="16">
        <v>0.86069999999999991</v>
      </c>
      <c r="Q444" s="16">
        <v>0.43259999999999998</v>
      </c>
      <c r="R444" s="16">
        <v>0.66720000000000002</v>
      </c>
      <c r="S444" s="16">
        <f t="shared" si="12"/>
        <v>0.65349999999999997</v>
      </c>
      <c r="T444" s="18">
        <v>0.50343312276846997</v>
      </c>
      <c r="U444" s="1">
        <v>12.539184949999999</v>
      </c>
      <c r="V444" s="1">
        <f t="shared" si="13"/>
        <v>2.605588069955898</v>
      </c>
      <c r="W444" s="25"/>
      <c r="X444">
        <v>7.7999999999999996E-3</v>
      </c>
      <c r="Y444" s="1">
        <v>0.214</v>
      </c>
      <c r="Z444" s="1">
        <v>0.19389999999999999</v>
      </c>
      <c r="AA444" s="1">
        <v>32846</v>
      </c>
      <c r="AB444" s="1">
        <v>319</v>
      </c>
      <c r="AC444" s="29">
        <v>7973</v>
      </c>
    </row>
    <row r="445" spans="1:29">
      <c r="A445" s="12">
        <v>23</v>
      </c>
      <c r="B445" s="12" t="s">
        <v>181</v>
      </c>
      <c r="C445" s="12">
        <v>23555</v>
      </c>
      <c r="D445" s="12" t="s">
        <v>505</v>
      </c>
      <c r="E445" s="17">
        <v>0.82161937233214311</v>
      </c>
      <c r="F445" s="17">
        <v>0.1783672044887111</v>
      </c>
      <c r="G445" s="13">
        <v>1</v>
      </c>
      <c r="H445" s="13">
        <v>4.6059899164722706</v>
      </c>
      <c r="I445" s="14">
        <v>11.218540981458773</v>
      </c>
      <c r="J445" s="16">
        <v>0.91379999999999995</v>
      </c>
      <c r="K445" s="16">
        <v>0.91180000000000005</v>
      </c>
      <c r="L445" s="13">
        <v>0.60199999999999998</v>
      </c>
      <c r="M445" s="13">
        <v>1.67E-2</v>
      </c>
      <c r="N445" s="13">
        <v>7.85E-2</v>
      </c>
      <c r="O445" s="13">
        <v>3.2599999999999997E-2</v>
      </c>
      <c r="P445" s="16">
        <v>0.85970000000000002</v>
      </c>
      <c r="Q445" s="16">
        <v>0.76950000000000007</v>
      </c>
      <c r="R445" s="16">
        <v>0.8</v>
      </c>
      <c r="S445" s="16">
        <f t="shared" si="12"/>
        <v>0.8097333333333333</v>
      </c>
      <c r="T445" s="18">
        <v>1</v>
      </c>
      <c r="U445" s="1">
        <v>14.60823373</v>
      </c>
      <c r="V445" s="1">
        <f t="shared" si="13"/>
        <v>2.7477985782214995</v>
      </c>
      <c r="W445" s="26"/>
      <c r="X445">
        <v>7.6200000000000004E-2</v>
      </c>
      <c r="Y445" s="1">
        <v>0.27939999999999998</v>
      </c>
      <c r="Z445" s="1">
        <v>0.24640000000000001</v>
      </c>
      <c r="AA445" s="1">
        <v>66459</v>
      </c>
      <c r="AB445" s="1">
        <v>753</v>
      </c>
      <c r="AC445" s="29">
        <v>14345</v>
      </c>
    </row>
    <row r="446" spans="1:29">
      <c r="A446" s="12">
        <v>23</v>
      </c>
      <c r="B446" s="12" t="s">
        <v>181</v>
      </c>
      <c r="C446" s="12">
        <v>23570</v>
      </c>
      <c r="D446" s="12" t="s">
        <v>506</v>
      </c>
      <c r="E446" s="17">
        <v>0.87162555271119391</v>
      </c>
      <c r="F446" s="17">
        <v>0.12837444728880615</v>
      </c>
      <c r="G446" s="13">
        <v>0.88953292793375593</v>
      </c>
      <c r="H446" s="13">
        <v>6.7881739918441326</v>
      </c>
      <c r="I446" s="14">
        <v>10.445143015094558</v>
      </c>
      <c r="J446" s="16">
        <v>0.69199999999999995</v>
      </c>
      <c r="K446" s="16">
        <v>0.69140000000000001</v>
      </c>
      <c r="L446" s="13">
        <v>0.38169999999999998</v>
      </c>
      <c r="M446" s="13">
        <v>3.5200000000000002E-2</v>
      </c>
      <c r="N446" s="13">
        <v>8.9300000000000004E-2</v>
      </c>
      <c r="O446" s="13">
        <v>5.0799999999999998E-2</v>
      </c>
      <c r="P446" s="16">
        <v>0.58640000000000003</v>
      </c>
      <c r="Q446" s="16">
        <v>0.37229999999999996</v>
      </c>
      <c r="R446" s="16">
        <v>0.41369999999999996</v>
      </c>
      <c r="S446" s="16">
        <f t="shared" si="12"/>
        <v>0.45746666666666663</v>
      </c>
      <c r="T446" s="18">
        <v>0.71731859822596999</v>
      </c>
      <c r="U446" s="1">
        <v>0</v>
      </c>
      <c r="V446" s="1">
        <f t="shared" si="13"/>
        <v>0</v>
      </c>
      <c r="W446" s="25"/>
      <c r="X446">
        <v>8.5999999999999993E-2</v>
      </c>
      <c r="Y446" s="1">
        <v>0.1686</v>
      </c>
      <c r="Z446" s="1">
        <v>0.15579999999999999</v>
      </c>
      <c r="AA446" s="1">
        <v>37976</v>
      </c>
      <c r="AB446" s="1">
        <v>270</v>
      </c>
      <c r="AC446" s="29">
        <v>8555</v>
      </c>
    </row>
    <row r="447" spans="1:29">
      <c r="A447" s="12">
        <v>23</v>
      </c>
      <c r="B447" s="12" t="s">
        <v>181</v>
      </c>
      <c r="C447" s="12">
        <v>23574</v>
      </c>
      <c r="D447" s="12" t="s">
        <v>507</v>
      </c>
      <c r="E447" s="17">
        <v>0.9492709065354884</v>
      </c>
      <c r="F447" s="17">
        <v>5.0729093464511592E-2</v>
      </c>
      <c r="G447" s="13">
        <v>0.8853287708519656</v>
      </c>
      <c r="H447" s="13">
        <v>18.696366782006919</v>
      </c>
      <c r="I447" s="14">
        <v>10.033155240658164</v>
      </c>
      <c r="J447" s="16">
        <v>0.77210000000000001</v>
      </c>
      <c r="K447" s="16">
        <v>0.77100000000000002</v>
      </c>
      <c r="L447" s="13">
        <v>0.34379999999999999</v>
      </c>
      <c r="M447" s="13">
        <v>3.5299999999999998E-2</v>
      </c>
      <c r="N447" s="13">
        <v>0.1138</v>
      </c>
      <c r="O447" s="13">
        <v>6.7000000000000004E-2</v>
      </c>
      <c r="P447" s="16">
        <v>1</v>
      </c>
      <c r="Q447" s="16">
        <v>0</v>
      </c>
      <c r="R447" s="16">
        <v>1</v>
      </c>
      <c r="S447" s="16">
        <f t="shared" si="12"/>
        <v>0.66666666666666663</v>
      </c>
      <c r="T447" s="18">
        <v>0.60162228344046498</v>
      </c>
      <c r="U447" s="1">
        <v>20.618556699999999</v>
      </c>
      <c r="V447" s="1">
        <f t="shared" si="13"/>
        <v>3.0735520523508497</v>
      </c>
      <c r="W447" s="26"/>
      <c r="X447">
        <v>3.3000000000000002E-2</v>
      </c>
      <c r="Y447" s="1">
        <v>0.12479999999999999</v>
      </c>
      <c r="Z447" s="1">
        <v>0.1176</v>
      </c>
      <c r="AA447" s="1">
        <v>24650</v>
      </c>
      <c r="AB447" s="1">
        <v>194</v>
      </c>
      <c r="AC447" s="29">
        <v>5868</v>
      </c>
    </row>
    <row r="448" spans="1:29">
      <c r="A448" s="12">
        <v>23</v>
      </c>
      <c r="B448" s="12" t="s">
        <v>181</v>
      </c>
      <c r="C448" s="12">
        <v>23580</v>
      </c>
      <c r="D448" s="12" t="s">
        <v>508</v>
      </c>
      <c r="E448" s="17">
        <v>0.90085381513438012</v>
      </c>
      <c r="F448" s="17">
        <v>9.9146184865619866E-2</v>
      </c>
      <c r="G448" s="13">
        <v>0.97738682402677468</v>
      </c>
      <c r="H448" s="13">
        <v>9.084052703316674</v>
      </c>
      <c r="I448" s="14">
        <v>10.70076949782808</v>
      </c>
      <c r="J448" s="16">
        <v>0.83650000000000002</v>
      </c>
      <c r="K448" s="16">
        <v>0.83609999999999995</v>
      </c>
      <c r="L448" s="13">
        <v>0.38479999999999998</v>
      </c>
      <c r="M448" s="13">
        <v>5.3400000000000003E-2</v>
      </c>
      <c r="N448" s="13">
        <v>0.1038</v>
      </c>
      <c r="O448" s="13">
        <v>8.3000000000000004E-2</v>
      </c>
      <c r="P448" s="16">
        <v>0.51400000000000001</v>
      </c>
      <c r="Q448" s="16">
        <v>0.51400000000000001</v>
      </c>
      <c r="R448" s="16">
        <v>0.51400000000000001</v>
      </c>
      <c r="S448" s="16">
        <f t="shared" si="12"/>
        <v>0.51400000000000001</v>
      </c>
      <c r="T448" s="18">
        <v>0.30759075907590699</v>
      </c>
      <c r="U448" s="1">
        <v>7.936507937</v>
      </c>
      <c r="V448" s="1">
        <f t="shared" si="13"/>
        <v>2.1901449018032197</v>
      </c>
      <c r="W448" s="25"/>
      <c r="X448">
        <v>0.13289999999999999</v>
      </c>
      <c r="Y448" s="1">
        <v>7.5700000000000003E-2</v>
      </c>
      <c r="Z448" s="1">
        <v>7.2999999999999995E-2</v>
      </c>
      <c r="AA448" s="1">
        <v>45697</v>
      </c>
      <c r="AB448" s="1">
        <v>504</v>
      </c>
      <c r="AC448" s="29">
        <v>12889</v>
      </c>
    </row>
    <row r="449" spans="1:29">
      <c r="A449" s="12">
        <v>23</v>
      </c>
      <c r="B449" s="12" t="s">
        <v>181</v>
      </c>
      <c r="C449" s="12">
        <v>23586</v>
      </c>
      <c r="D449" s="12" t="s">
        <v>509</v>
      </c>
      <c r="E449" s="17">
        <v>0.92194270582571014</v>
      </c>
      <c r="F449" s="17">
        <v>7.8057294174289846E-2</v>
      </c>
      <c r="G449" s="13">
        <v>0.89424681125881278</v>
      </c>
      <c r="H449" s="13">
        <v>11.802003081664099</v>
      </c>
      <c r="I449" s="14">
        <v>9.7181815467012136</v>
      </c>
      <c r="J449" s="16">
        <v>0.83819999999999995</v>
      </c>
      <c r="K449" s="16">
        <v>0.83709999999999996</v>
      </c>
      <c r="L449" s="13">
        <v>0.50490000000000002</v>
      </c>
      <c r="M449" s="13">
        <v>4.0500000000000001E-2</v>
      </c>
      <c r="N449" s="13">
        <v>8.8700000000000001E-2</v>
      </c>
      <c r="O449" s="13">
        <v>0.1024</v>
      </c>
      <c r="P449" s="16">
        <v>0.65170000000000006</v>
      </c>
      <c r="Q449" s="16">
        <v>0.2702</v>
      </c>
      <c r="R449" s="16">
        <v>0.58879999999999999</v>
      </c>
      <c r="S449" s="16">
        <f t="shared" si="12"/>
        <v>0.50356666666666661</v>
      </c>
      <c r="T449" s="18">
        <v>0.65117719950433695</v>
      </c>
      <c r="U449" s="1">
        <v>25.47770701</v>
      </c>
      <c r="V449" s="1">
        <f t="shared" si="13"/>
        <v>3.2763031340414477</v>
      </c>
      <c r="W449" s="26"/>
      <c r="X449">
        <v>1.5900000000000001E-2</v>
      </c>
      <c r="Y449" s="1">
        <v>0.82809999999999995</v>
      </c>
      <c r="Z449" s="1">
        <v>0.60329999999999995</v>
      </c>
      <c r="AA449" s="1">
        <v>19091</v>
      </c>
      <c r="AB449" s="1">
        <v>157</v>
      </c>
      <c r="AC449" s="29">
        <v>4003</v>
      </c>
    </row>
    <row r="450" spans="1:29">
      <c r="A450" s="12">
        <v>23</v>
      </c>
      <c r="B450" s="12" t="s">
        <v>181</v>
      </c>
      <c r="C450" s="12">
        <v>23660</v>
      </c>
      <c r="D450" s="12" t="s">
        <v>510</v>
      </c>
      <c r="E450" s="17">
        <v>0.8668070215915864</v>
      </c>
      <c r="F450" s="17">
        <v>0.1331929784084136</v>
      </c>
      <c r="G450" s="13">
        <v>0.89620828989652701</v>
      </c>
      <c r="H450" s="13">
        <v>6.5074336027713624</v>
      </c>
      <c r="I450" s="14">
        <v>11.552367307518757</v>
      </c>
      <c r="J450" s="16">
        <v>0.85089999999999999</v>
      </c>
      <c r="K450" s="16">
        <v>0.8508</v>
      </c>
      <c r="L450" s="13">
        <v>0.53769999999999996</v>
      </c>
      <c r="M450" s="13">
        <v>2.81E-2</v>
      </c>
      <c r="N450" s="13">
        <v>8.8300000000000003E-2</v>
      </c>
      <c r="O450" s="13">
        <v>8.4099999999999994E-2</v>
      </c>
      <c r="P450" s="16">
        <v>1</v>
      </c>
      <c r="Q450" s="16">
        <v>1</v>
      </c>
      <c r="R450" s="16">
        <v>1</v>
      </c>
      <c r="S450" s="16">
        <f t="shared" ref="S450:S513" si="14">+(P450+Q450+R450)/3</f>
        <v>1</v>
      </c>
      <c r="T450" s="18">
        <v>0.76990707250570301</v>
      </c>
      <c r="U450" s="1">
        <v>3.5714285710000002</v>
      </c>
      <c r="V450" s="1">
        <f t="shared" ref="V450:V513" si="15">LN(U450+1)</f>
        <v>1.5198257536506632</v>
      </c>
      <c r="W450" s="25"/>
      <c r="X450">
        <v>7.7899999999999997E-2</v>
      </c>
      <c r="Y450" s="1">
        <v>0.64259999999999995</v>
      </c>
      <c r="Z450" s="1">
        <v>0.49630000000000002</v>
      </c>
      <c r="AA450" s="1">
        <v>118572</v>
      </c>
      <c r="AB450" s="1">
        <v>840</v>
      </c>
      <c r="AC450" s="29">
        <v>23710</v>
      </c>
    </row>
    <row r="451" spans="1:29" ht="25.5">
      <c r="A451" s="12">
        <v>23</v>
      </c>
      <c r="B451" s="12" t="s">
        <v>181</v>
      </c>
      <c r="C451" s="12">
        <v>23670</v>
      </c>
      <c r="D451" s="12" t="s">
        <v>511</v>
      </c>
      <c r="E451" s="17">
        <v>0.93359152523066413</v>
      </c>
      <c r="F451" s="17">
        <v>6.640847476933591E-2</v>
      </c>
      <c r="G451" s="13">
        <v>0.86424493010435122</v>
      </c>
      <c r="H451" s="13">
        <v>14.053497942386832</v>
      </c>
      <c r="I451" s="14">
        <v>10.689578478738811</v>
      </c>
      <c r="J451" s="16">
        <v>0.78090000000000004</v>
      </c>
      <c r="K451" s="16">
        <v>0.78039999999999998</v>
      </c>
      <c r="L451" s="13">
        <v>0.51219999999999999</v>
      </c>
      <c r="M451" s="13">
        <v>3.44E-2</v>
      </c>
      <c r="N451" s="13">
        <v>8.7400000000000005E-2</v>
      </c>
      <c r="O451" s="13">
        <v>6.8699999999999997E-2</v>
      </c>
      <c r="P451" s="16">
        <v>0.40600000000000003</v>
      </c>
      <c r="Q451" s="16">
        <v>0.3347</v>
      </c>
      <c r="R451" s="16">
        <v>0.33549999999999996</v>
      </c>
      <c r="S451" s="16">
        <f t="shared" si="14"/>
        <v>0.35873333333333335</v>
      </c>
      <c r="T451" s="18">
        <v>0.35998697174497102</v>
      </c>
      <c r="U451" s="1">
        <v>11.60092807</v>
      </c>
      <c r="V451" s="1">
        <f t="shared" si="15"/>
        <v>2.533770467594143</v>
      </c>
      <c r="W451" s="26"/>
      <c r="X451">
        <v>1.26E-2</v>
      </c>
      <c r="Y451" s="1">
        <v>1.0802</v>
      </c>
      <c r="Z451" s="1">
        <v>0.73250000000000004</v>
      </c>
      <c r="AA451" s="1">
        <v>52225</v>
      </c>
      <c r="AB451" s="1">
        <v>431</v>
      </c>
      <c r="AC451" s="29">
        <v>13508</v>
      </c>
    </row>
    <row r="452" spans="1:29">
      <c r="A452" s="12">
        <v>23</v>
      </c>
      <c r="B452" s="12" t="s">
        <v>181</v>
      </c>
      <c r="C452" s="12">
        <v>23672</v>
      </c>
      <c r="D452" s="12" t="s">
        <v>512</v>
      </c>
      <c r="E452" s="17">
        <v>0.88882780526540839</v>
      </c>
      <c r="F452" s="17">
        <v>0.11117219473459165</v>
      </c>
      <c r="G452" s="13">
        <v>0.89505480987397834</v>
      </c>
      <c r="H452" s="13">
        <v>7.9928591046415818</v>
      </c>
      <c r="I452" s="14">
        <v>10.396444477759635</v>
      </c>
      <c r="J452" s="16">
        <v>0.8306</v>
      </c>
      <c r="K452" s="16">
        <v>0.8296</v>
      </c>
      <c r="L452" s="13">
        <v>0.3992</v>
      </c>
      <c r="M452" s="13">
        <v>2.93E-2</v>
      </c>
      <c r="N452" s="13">
        <v>0.13170000000000001</v>
      </c>
      <c r="O452" s="13">
        <v>7.6700000000000004E-2</v>
      </c>
      <c r="P452" s="16">
        <v>0.77329999999999999</v>
      </c>
      <c r="Q452" s="16">
        <v>0.77329999999999999</v>
      </c>
      <c r="R452" s="16">
        <v>0.77329999999999999</v>
      </c>
      <c r="S452" s="16">
        <f t="shared" si="14"/>
        <v>0.77329999999999999</v>
      </c>
      <c r="T452" s="18">
        <v>0.607718980853309</v>
      </c>
      <c r="U452" s="1">
        <v>6.8259385669999997</v>
      </c>
      <c r="V452" s="1">
        <f t="shared" si="15"/>
        <v>2.0574436738979673</v>
      </c>
      <c r="W452" s="25"/>
      <c r="X452">
        <v>4.7100000000000003E-2</v>
      </c>
      <c r="Y452" s="1">
        <v>0.99809999999999999</v>
      </c>
      <c r="Z452" s="1">
        <v>0.69220000000000004</v>
      </c>
      <c r="AA452" s="1">
        <v>38802</v>
      </c>
      <c r="AB452" s="1">
        <v>293</v>
      </c>
      <c r="AC452" s="29">
        <v>8625</v>
      </c>
    </row>
    <row r="453" spans="1:29" ht="25.5">
      <c r="A453" s="12">
        <v>23</v>
      </c>
      <c r="B453" s="12" t="s">
        <v>181</v>
      </c>
      <c r="C453" s="12">
        <v>23675</v>
      </c>
      <c r="D453" s="12" t="s">
        <v>513</v>
      </c>
      <c r="E453" s="17">
        <v>0.92472354948805457</v>
      </c>
      <c r="F453" s="17">
        <v>7.5249146757679186E-2</v>
      </c>
      <c r="G453" s="13">
        <v>0.91416234025559107</v>
      </c>
      <c r="H453" s="13">
        <v>12.28436706565107</v>
      </c>
      <c r="I453" s="14">
        <v>10.508513649700895</v>
      </c>
      <c r="J453" s="16">
        <v>0.77139999999999997</v>
      </c>
      <c r="K453" s="16">
        <v>0.77090000000000003</v>
      </c>
      <c r="L453" s="13">
        <v>0.4007</v>
      </c>
      <c r="M453" s="13">
        <v>2.3300000000000001E-2</v>
      </c>
      <c r="N453" s="13">
        <v>0.1217</v>
      </c>
      <c r="O453" s="13">
        <v>8.2100000000000006E-2</v>
      </c>
      <c r="P453" s="16">
        <v>0</v>
      </c>
      <c r="Q453" s="16">
        <v>0</v>
      </c>
      <c r="R453" s="16">
        <v>0</v>
      </c>
      <c r="S453" s="16">
        <f t="shared" si="14"/>
        <v>0</v>
      </c>
      <c r="T453" s="18">
        <v>0.60231704519385099</v>
      </c>
      <c r="U453" s="1">
        <v>20.89552239</v>
      </c>
      <c r="V453" s="1">
        <f t="shared" si="15"/>
        <v>3.086282158840632</v>
      </c>
      <c r="W453" s="26"/>
      <c r="X453">
        <v>2.4400000000000002E-2</v>
      </c>
      <c r="Y453" s="1">
        <v>0.3004</v>
      </c>
      <c r="Z453" s="1">
        <v>0.26269999999999999</v>
      </c>
      <c r="AA453" s="1">
        <v>40897</v>
      </c>
      <c r="AB453" s="1">
        <v>335</v>
      </c>
      <c r="AC453" s="29">
        <v>9237</v>
      </c>
    </row>
    <row r="454" spans="1:29">
      <c r="A454" s="12">
        <v>23</v>
      </c>
      <c r="B454" s="12" t="s">
        <v>181</v>
      </c>
      <c r="C454" s="12">
        <v>23678</v>
      </c>
      <c r="D454" s="12" t="s">
        <v>102</v>
      </c>
      <c r="E454" s="17">
        <v>0.94801968139523551</v>
      </c>
      <c r="F454" s="17">
        <v>5.1980318604764458E-2</v>
      </c>
      <c r="G454" s="13">
        <v>0.702642568631478</v>
      </c>
      <c r="H454" s="13">
        <v>18.220973782771537</v>
      </c>
      <c r="I454" s="14">
        <v>9.929545086855418</v>
      </c>
      <c r="J454" s="16">
        <v>0.75180000000000002</v>
      </c>
      <c r="K454" s="16">
        <v>0.75090000000000001</v>
      </c>
      <c r="L454" s="13">
        <v>0.40310000000000001</v>
      </c>
      <c r="M454" s="13">
        <v>4.0399999999999998E-2</v>
      </c>
      <c r="N454" s="13">
        <v>0.10290000000000001</v>
      </c>
      <c r="O454" s="13">
        <v>6.4699999999999994E-2</v>
      </c>
      <c r="P454" s="16">
        <v>0</v>
      </c>
      <c r="Q454" s="16">
        <v>0</v>
      </c>
      <c r="R454" s="16">
        <v>0</v>
      </c>
      <c r="S454" s="16">
        <f t="shared" si="14"/>
        <v>0</v>
      </c>
      <c r="T454" s="18">
        <v>0.67726351877824498</v>
      </c>
      <c r="U454" s="1">
        <v>5.4644808740000004</v>
      </c>
      <c r="V454" s="1">
        <f t="shared" si="15"/>
        <v>1.8663227110879379</v>
      </c>
      <c r="W454" s="25"/>
      <c r="X454">
        <v>1.4E-2</v>
      </c>
      <c r="Y454" s="1">
        <v>0.42749999999999999</v>
      </c>
      <c r="Z454" s="1">
        <v>0.35589999999999999</v>
      </c>
      <c r="AA454" s="1">
        <v>28745</v>
      </c>
      <c r="AB454" s="1">
        <v>183</v>
      </c>
      <c r="AC454" s="29">
        <v>6822</v>
      </c>
    </row>
    <row r="455" spans="1:29">
      <c r="A455" s="12">
        <v>23</v>
      </c>
      <c r="B455" s="12" t="s">
        <v>181</v>
      </c>
      <c r="C455" s="12">
        <v>23682</v>
      </c>
      <c r="D455" s="12" t="s">
        <v>514</v>
      </c>
      <c r="E455" s="17">
        <v>0.93686895525560632</v>
      </c>
      <c r="F455" s="17">
        <v>6.3131044744393669E-2</v>
      </c>
      <c r="G455" s="13">
        <v>0.64037296671884569</v>
      </c>
      <c r="H455" s="13">
        <v>14.815126050420169</v>
      </c>
      <c r="I455" s="14">
        <v>9.149528232579426</v>
      </c>
      <c r="J455" s="16">
        <v>0.67810000000000004</v>
      </c>
      <c r="K455" s="16">
        <v>0.67789999999999995</v>
      </c>
      <c r="L455" s="13">
        <v>0.3306</v>
      </c>
      <c r="M455" s="13">
        <v>8.5400000000000004E-2</v>
      </c>
      <c r="N455" s="13">
        <v>0.11650000000000001</v>
      </c>
      <c r="O455" s="13">
        <v>5.6500000000000002E-2</v>
      </c>
      <c r="P455" s="16">
        <v>0.52469999999999994</v>
      </c>
      <c r="Q455" s="16">
        <v>0.34409999999999996</v>
      </c>
      <c r="R455" s="16">
        <v>0.3851</v>
      </c>
      <c r="S455" s="16">
        <f t="shared" si="14"/>
        <v>0.4179666666666666</v>
      </c>
      <c r="T455" s="18">
        <v>0.85388310648518795</v>
      </c>
      <c r="U455" s="1">
        <v>22.988505750000002</v>
      </c>
      <c r="V455" s="1">
        <f t="shared" si="15"/>
        <v>3.1775747885424064</v>
      </c>
      <c r="W455" s="26"/>
      <c r="X455">
        <v>1.7399999999999999E-2</v>
      </c>
      <c r="Y455" s="1">
        <v>2.4799999999999999E-2</v>
      </c>
      <c r="Z455" s="1">
        <v>2.4500000000000001E-2</v>
      </c>
      <c r="AA455" s="1">
        <v>15244</v>
      </c>
      <c r="AB455" s="1">
        <v>87</v>
      </c>
      <c r="AC455" s="29">
        <v>4475</v>
      </c>
    </row>
    <row r="456" spans="1:29">
      <c r="A456" s="12">
        <v>23</v>
      </c>
      <c r="B456" s="12" t="s">
        <v>181</v>
      </c>
      <c r="C456" s="12">
        <v>23686</v>
      </c>
      <c r="D456" s="12" t="s">
        <v>515</v>
      </c>
      <c r="E456" s="17">
        <v>0.92108167770419425</v>
      </c>
      <c r="F456" s="17">
        <v>7.8894327670601783E-2</v>
      </c>
      <c r="G456" s="13">
        <v>0.75682350591098113</v>
      </c>
      <c r="H456" s="13">
        <v>11.671328671328672</v>
      </c>
      <c r="I456" s="14">
        <v>10.637704696869411</v>
      </c>
      <c r="J456" s="16">
        <v>0.69599999999999995</v>
      </c>
      <c r="K456" s="16">
        <v>0.69550000000000001</v>
      </c>
      <c r="L456" s="13">
        <v>0.4073</v>
      </c>
      <c r="M456" s="13">
        <v>3.1800000000000002E-2</v>
      </c>
      <c r="N456" s="13">
        <v>0.1125</v>
      </c>
      <c r="O456" s="13">
        <v>9.3899999999999997E-2</v>
      </c>
      <c r="P456" s="16">
        <v>0.45130000000000003</v>
      </c>
      <c r="Q456" s="16">
        <v>0.38179999999999997</v>
      </c>
      <c r="R456" s="16">
        <v>0.4299</v>
      </c>
      <c r="S456" s="16">
        <f t="shared" si="14"/>
        <v>0.42099999999999999</v>
      </c>
      <c r="T456" s="18">
        <v>0.66947573130216298</v>
      </c>
      <c r="U456" s="1">
        <v>9.0909090910000003</v>
      </c>
      <c r="V456" s="1">
        <f t="shared" si="15"/>
        <v>2.3116349285229725</v>
      </c>
      <c r="W456" s="25"/>
      <c r="X456">
        <v>2.9100000000000001E-2</v>
      </c>
      <c r="Y456" s="1">
        <v>0.43590000000000001</v>
      </c>
      <c r="Z456" s="1">
        <v>0.36180000000000001</v>
      </c>
      <c r="AA456" s="1">
        <v>57804</v>
      </c>
      <c r="AB456" s="1">
        <v>330</v>
      </c>
      <c r="AC456" s="29">
        <v>11036</v>
      </c>
    </row>
    <row r="457" spans="1:29">
      <c r="A457" s="12">
        <v>23</v>
      </c>
      <c r="B457" s="12" t="s">
        <v>181</v>
      </c>
      <c r="C457" s="12">
        <v>23807</v>
      </c>
      <c r="D457" s="12" t="s">
        <v>516</v>
      </c>
      <c r="E457" s="17">
        <v>0.91867834708881435</v>
      </c>
      <c r="F457" s="17">
        <v>8.1321652911185593E-2</v>
      </c>
      <c r="G457" s="13">
        <v>1</v>
      </c>
      <c r="H457" s="13">
        <v>11.295543754329254</v>
      </c>
      <c r="I457" s="14">
        <v>11.575937822111753</v>
      </c>
      <c r="J457" s="16">
        <v>0.95299999999999996</v>
      </c>
      <c r="K457" s="16">
        <v>0.95240000000000002</v>
      </c>
      <c r="L457" s="13">
        <v>0.50739999999999996</v>
      </c>
      <c r="M457" s="13">
        <v>5.7799999999999997E-2</v>
      </c>
      <c r="N457" s="13">
        <v>7.9399999999999998E-2</v>
      </c>
      <c r="O457" s="13">
        <v>5.5500000000000001E-2</v>
      </c>
      <c r="P457" s="16">
        <v>0.9194</v>
      </c>
      <c r="Q457" s="16">
        <v>0.76519999999999999</v>
      </c>
      <c r="R457" s="16">
        <v>0.85030000000000006</v>
      </c>
      <c r="S457" s="16">
        <f t="shared" si="14"/>
        <v>0.84496666666666675</v>
      </c>
      <c r="T457" s="18">
        <v>0.274987568373943</v>
      </c>
      <c r="U457" s="1">
        <v>11.669658889999999</v>
      </c>
      <c r="V457" s="1">
        <f t="shared" si="15"/>
        <v>2.5392100713186929</v>
      </c>
      <c r="W457" s="26"/>
      <c r="X457">
        <v>3.32E-2</v>
      </c>
      <c r="Y457" s="1">
        <v>4.02E-2</v>
      </c>
      <c r="Z457" s="1">
        <v>3.9399999999999998E-2</v>
      </c>
      <c r="AA457" s="1">
        <v>100490</v>
      </c>
      <c r="AB457" s="1">
        <v>1114</v>
      </c>
      <c r="AC457" s="29">
        <v>27323</v>
      </c>
    </row>
    <row r="458" spans="1:29">
      <c r="A458" s="12">
        <v>23</v>
      </c>
      <c r="B458" s="12" t="s">
        <v>181</v>
      </c>
      <c r="C458" s="12">
        <v>23815</v>
      </c>
      <c r="D458" s="12" t="s">
        <v>517</v>
      </c>
      <c r="E458" s="17">
        <v>0.95805782132342299</v>
      </c>
      <c r="F458" s="17">
        <v>4.1942178676577055E-2</v>
      </c>
      <c r="G458" s="13">
        <v>0.726714719138563</v>
      </c>
      <c r="H458" s="13">
        <v>22.829212190914319</v>
      </c>
      <c r="I458" s="14">
        <v>10.63197774536807</v>
      </c>
      <c r="J458" s="16">
        <v>0.61060000000000003</v>
      </c>
      <c r="K458" s="16">
        <v>0.61029999999999995</v>
      </c>
      <c r="L458" s="13">
        <v>0.32319999999999999</v>
      </c>
      <c r="M458" s="13">
        <v>3.0700000000000002E-2</v>
      </c>
      <c r="N458" s="13">
        <v>9.8799999999999999E-2</v>
      </c>
      <c r="O458" s="13">
        <v>0.03</v>
      </c>
      <c r="P458" s="16">
        <v>0.58590000000000009</v>
      </c>
      <c r="Q458" s="16">
        <v>0.50319999999999998</v>
      </c>
      <c r="R458" s="16">
        <v>0.51340000000000008</v>
      </c>
      <c r="S458" s="16">
        <f t="shared" si="14"/>
        <v>0.53416666666666679</v>
      </c>
      <c r="T458" s="18">
        <v>0.38598223099703799</v>
      </c>
      <c r="U458" s="1">
        <v>3.944773176</v>
      </c>
      <c r="V458" s="1">
        <f t="shared" si="15"/>
        <v>1.5983310946596512</v>
      </c>
      <c r="W458" s="25"/>
      <c r="X458">
        <v>7.0000000000000001E-3</v>
      </c>
      <c r="Y458" s="1">
        <v>1.4125000000000001</v>
      </c>
      <c r="Z458" s="1">
        <v>0.88070000000000004</v>
      </c>
      <c r="AA458" s="1">
        <v>60386</v>
      </c>
      <c r="AB458" s="1">
        <v>507</v>
      </c>
      <c r="AC458" s="29">
        <v>17247</v>
      </c>
    </row>
    <row r="459" spans="1:29">
      <c r="A459" s="12">
        <v>23</v>
      </c>
      <c r="B459" s="12" t="s">
        <v>181</v>
      </c>
      <c r="C459" s="12">
        <v>23855</v>
      </c>
      <c r="D459" s="12" t="s">
        <v>518</v>
      </c>
      <c r="E459" s="17">
        <v>0.92296183455292291</v>
      </c>
      <c r="F459" s="17">
        <v>7.7010962705040667E-2</v>
      </c>
      <c r="G459" s="13">
        <v>0.95371643533532235</v>
      </c>
      <c r="H459" s="13">
        <v>11.980579096045197</v>
      </c>
      <c r="I459" s="14">
        <v>10.512219981953709</v>
      </c>
      <c r="J459" s="16">
        <v>0.83199999999999996</v>
      </c>
      <c r="K459" s="16">
        <v>0.83160000000000001</v>
      </c>
      <c r="L459" s="13">
        <v>0.50939999999999996</v>
      </c>
      <c r="M459" s="13">
        <v>4.5100000000000001E-2</v>
      </c>
      <c r="N459" s="13">
        <v>0.1043</v>
      </c>
      <c r="O459" s="13">
        <v>6.4699999999999994E-2</v>
      </c>
      <c r="P459" s="16">
        <v>0.50939999999999996</v>
      </c>
      <c r="Q459" s="16">
        <v>0.49680000000000002</v>
      </c>
      <c r="R459" s="16">
        <v>0.45520000000000005</v>
      </c>
      <c r="S459" s="16">
        <f t="shared" si="14"/>
        <v>0.48713333333333336</v>
      </c>
      <c r="T459" s="18">
        <v>0.25740766746243504</v>
      </c>
      <c r="U459" s="1">
        <v>5.763688761</v>
      </c>
      <c r="V459" s="1">
        <f t="shared" si="15"/>
        <v>1.9115684159327113</v>
      </c>
      <c r="W459" s="26"/>
      <c r="X459">
        <v>2.76E-2</v>
      </c>
      <c r="Y459" s="1">
        <v>0.10730000000000001</v>
      </c>
      <c r="Z459" s="1">
        <v>0.1019</v>
      </c>
      <c r="AA459" s="1">
        <v>36721</v>
      </c>
      <c r="AB459" s="1">
        <v>347</v>
      </c>
      <c r="AC459" s="29">
        <v>8594</v>
      </c>
    </row>
    <row r="460" spans="1:29" ht="25.5">
      <c r="A460" s="12">
        <v>25</v>
      </c>
      <c r="B460" s="12" t="s">
        <v>519</v>
      </c>
      <c r="C460" s="12">
        <v>25001</v>
      </c>
      <c r="D460" s="12" t="s">
        <v>520</v>
      </c>
      <c r="E460" s="17">
        <v>0.64845190721149182</v>
      </c>
      <c r="F460" s="17">
        <v>0.35154809278850818</v>
      </c>
      <c r="G460" s="13">
        <v>0.73164323249538421</v>
      </c>
      <c r="H460" s="13">
        <v>1.8440518906983163</v>
      </c>
      <c r="I460" s="14">
        <v>9.2402874483441355</v>
      </c>
      <c r="J460" s="16">
        <v>0.73729999999999996</v>
      </c>
      <c r="K460" s="16">
        <v>0.73729999999999996</v>
      </c>
      <c r="L460" s="13">
        <v>0.42820000000000003</v>
      </c>
      <c r="M460" s="13">
        <v>3.6700000000000003E-2</v>
      </c>
      <c r="N460" s="13">
        <v>0.1069</v>
      </c>
      <c r="O460" s="13">
        <v>5.9900000000000002E-2</v>
      </c>
      <c r="P460" s="16">
        <v>1</v>
      </c>
      <c r="Q460" s="16">
        <v>0.99950000000000006</v>
      </c>
      <c r="R460" s="16">
        <v>0.21079999999999999</v>
      </c>
      <c r="S460" s="16">
        <f t="shared" si="14"/>
        <v>0.73676666666666668</v>
      </c>
      <c r="T460" s="18">
        <v>0.73770491803278604</v>
      </c>
      <c r="U460" s="1">
        <v>0</v>
      </c>
      <c r="V460" s="1">
        <f t="shared" si="15"/>
        <v>0</v>
      </c>
      <c r="W460" s="25"/>
      <c r="X460">
        <v>6.2899999999999998E-2</v>
      </c>
      <c r="Y460" s="1">
        <v>0.67190000000000005</v>
      </c>
      <c r="Z460" s="1">
        <v>0.51390000000000002</v>
      </c>
      <c r="AA460" s="1">
        <v>11820</v>
      </c>
      <c r="AB460" s="1">
        <v>57</v>
      </c>
      <c r="AC460" s="29">
        <v>1634</v>
      </c>
    </row>
    <row r="461" spans="1:29" ht="25.5">
      <c r="A461" s="12">
        <v>25</v>
      </c>
      <c r="B461" s="12" t="s">
        <v>519</v>
      </c>
      <c r="C461" s="12">
        <v>25019</v>
      </c>
      <c r="D461" s="12" t="s">
        <v>521</v>
      </c>
      <c r="E461" s="17">
        <v>0.81987399770904923</v>
      </c>
      <c r="F461" s="17">
        <v>0.18012600229095074</v>
      </c>
      <c r="G461" s="13">
        <v>0.45133772780147347</v>
      </c>
      <c r="H461" s="13">
        <v>4.5444444444444443</v>
      </c>
      <c r="I461" s="14">
        <v>8.1585162448068314</v>
      </c>
      <c r="J461" s="16">
        <v>0.72299999999999998</v>
      </c>
      <c r="K461" s="16">
        <v>0.72299999999999998</v>
      </c>
      <c r="L461" s="13">
        <v>0.32879999999999998</v>
      </c>
      <c r="M461" s="13">
        <v>7.2900000000000006E-2</v>
      </c>
      <c r="N461" s="13">
        <v>0.1047</v>
      </c>
      <c r="O461" s="13">
        <v>5.7500000000000002E-2</v>
      </c>
      <c r="P461" s="16">
        <v>0.81769999999999998</v>
      </c>
      <c r="Q461" s="16">
        <v>0.18920000000000001</v>
      </c>
      <c r="R461" s="16">
        <v>0.3967</v>
      </c>
      <c r="S461" s="16">
        <f t="shared" si="14"/>
        <v>0.46786666666666665</v>
      </c>
      <c r="T461" s="18">
        <v>0.820754716981132</v>
      </c>
      <c r="U461" s="1">
        <v>0</v>
      </c>
      <c r="V461" s="1">
        <f t="shared" si="15"/>
        <v>0</v>
      </c>
      <c r="W461" s="26"/>
      <c r="X461">
        <v>0.1321</v>
      </c>
      <c r="Y461" s="1">
        <v>1.4117999999999999</v>
      </c>
      <c r="Z461" s="1">
        <v>0.88039999999999996</v>
      </c>
      <c r="AA461" s="1">
        <v>6911</v>
      </c>
      <c r="AB461" s="1">
        <v>42</v>
      </c>
      <c r="AC461" s="29">
        <v>1158</v>
      </c>
    </row>
    <row r="462" spans="1:29" ht="25.5">
      <c r="A462" s="12">
        <v>25</v>
      </c>
      <c r="B462" s="12" t="s">
        <v>519</v>
      </c>
      <c r="C462" s="12">
        <v>25035</v>
      </c>
      <c r="D462" s="12" t="s">
        <v>522</v>
      </c>
      <c r="E462" s="17">
        <v>0.61973875181422355</v>
      </c>
      <c r="F462" s="17">
        <v>0.3802612481857765</v>
      </c>
      <c r="G462" s="13">
        <v>0.62236775249816523</v>
      </c>
      <c r="H462" s="13">
        <v>1.6293823038397328</v>
      </c>
      <c r="I462" s="14">
        <v>9.3079207003150461</v>
      </c>
      <c r="J462" s="16">
        <v>0.91549999999999998</v>
      </c>
      <c r="K462" s="16">
        <v>0.91439999999999999</v>
      </c>
      <c r="L462" s="13">
        <v>0.48530000000000001</v>
      </c>
      <c r="M462" s="13">
        <v>2.8199999999999999E-2</v>
      </c>
      <c r="N462" s="13">
        <v>7.9100000000000004E-2</v>
      </c>
      <c r="O462" s="13">
        <v>6.0000000000000001E-3</v>
      </c>
      <c r="P462" s="16">
        <v>0.68459999999999999</v>
      </c>
      <c r="Q462" s="16">
        <v>0.47310000000000002</v>
      </c>
      <c r="R462" s="16">
        <v>0.65839999999999999</v>
      </c>
      <c r="S462" s="16">
        <f t="shared" si="14"/>
        <v>0.60536666666666672</v>
      </c>
      <c r="T462" s="18">
        <v>0.91130859034674994</v>
      </c>
      <c r="U462" s="1">
        <v>0</v>
      </c>
      <c r="V462" s="1">
        <f t="shared" si="15"/>
        <v>0</v>
      </c>
      <c r="W462" s="25"/>
      <c r="X462">
        <v>0.2107</v>
      </c>
      <c r="Y462" s="1">
        <v>1.3531</v>
      </c>
      <c r="Z462" s="1">
        <v>0.85570000000000002</v>
      </c>
      <c r="AA462" s="1">
        <v>16635</v>
      </c>
      <c r="AB462" s="1">
        <v>107</v>
      </c>
      <c r="AC462" s="29">
        <v>2629</v>
      </c>
    </row>
    <row r="463" spans="1:29" ht="25.5">
      <c r="A463" s="12">
        <v>25</v>
      </c>
      <c r="B463" s="12" t="s">
        <v>519</v>
      </c>
      <c r="C463" s="12">
        <v>25040</v>
      </c>
      <c r="D463" s="12" t="s">
        <v>523</v>
      </c>
      <c r="E463" s="17">
        <v>0.78223471299608249</v>
      </c>
      <c r="F463" s="17">
        <v>0.21776528700391756</v>
      </c>
      <c r="G463" s="13">
        <v>0.70931496919173609</v>
      </c>
      <c r="H463" s="13">
        <v>3.5906958561376077</v>
      </c>
      <c r="I463" s="14">
        <v>9.3710125973650804</v>
      </c>
      <c r="J463" s="16">
        <v>0.92249999999999999</v>
      </c>
      <c r="K463" s="16">
        <v>0.91590000000000005</v>
      </c>
      <c r="L463" s="13">
        <v>0.46870000000000001</v>
      </c>
      <c r="M463" s="13">
        <v>4.0500000000000001E-2</v>
      </c>
      <c r="N463" s="13">
        <v>0.1057</v>
      </c>
      <c r="O463" s="13">
        <v>5.11E-2</v>
      </c>
      <c r="P463" s="16">
        <v>0.1898</v>
      </c>
      <c r="Q463" s="16">
        <v>0.18940000000000001</v>
      </c>
      <c r="R463" s="16">
        <v>0.1898</v>
      </c>
      <c r="S463" s="16">
        <f t="shared" si="14"/>
        <v>0.18966666666666665</v>
      </c>
      <c r="T463" s="18">
        <v>0.78185631882538009</v>
      </c>
      <c r="U463" s="1">
        <v>0</v>
      </c>
      <c r="V463" s="1">
        <f t="shared" si="15"/>
        <v>0</v>
      </c>
      <c r="W463" s="26"/>
      <c r="X463">
        <v>5.16E-2</v>
      </c>
      <c r="Y463" s="1">
        <v>0.47389999999999999</v>
      </c>
      <c r="Z463" s="1">
        <v>0.38790000000000002</v>
      </c>
      <c r="AA463" s="1">
        <v>14581</v>
      </c>
      <c r="AB463" s="1">
        <v>123</v>
      </c>
      <c r="AC463" s="29">
        <v>2312</v>
      </c>
    </row>
    <row r="464" spans="1:29" ht="25.5">
      <c r="A464" s="12">
        <v>25</v>
      </c>
      <c r="B464" s="12" t="s">
        <v>519</v>
      </c>
      <c r="C464" s="12">
        <v>25053</v>
      </c>
      <c r="D464" s="12" t="s">
        <v>525</v>
      </c>
      <c r="E464" s="17">
        <v>0.76254641909814325</v>
      </c>
      <c r="F464" s="17">
        <v>0.23745358090185675</v>
      </c>
      <c r="G464" s="13">
        <v>0.74813462454357837</v>
      </c>
      <c r="H464" s="13">
        <v>3.2099151406878073</v>
      </c>
      <c r="I464" s="14">
        <v>9.1512271074836757</v>
      </c>
      <c r="J464" s="16">
        <v>0.81159999999999999</v>
      </c>
      <c r="K464" s="16">
        <v>0.81159999999999999</v>
      </c>
      <c r="L464" s="13">
        <v>0.48649999999999999</v>
      </c>
      <c r="M464" s="13">
        <v>3.1399999999999997E-2</v>
      </c>
      <c r="N464" s="13">
        <v>6.4699999999999994E-2</v>
      </c>
      <c r="O464" s="13">
        <v>2.4199999999999999E-2</v>
      </c>
      <c r="P464" s="16">
        <v>0.80040000000000011</v>
      </c>
      <c r="Q464" s="16">
        <v>0.313</v>
      </c>
      <c r="R464" s="16">
        <v>0.33399999999999996</v>
      </c>
      <c r="S464" s="16">
        <f t="shared" si="14"/>
        <v>0.48246666666666665</v>
      </c>
      <c r="T464" s="18">
        <v>0.89588235294117591</v>
      </c>
      <c r="U464" s="1">
        <v>18.518518520000001</v>
      </c>
      <c r="V464" s="1">
        <f t="shared" si="15"/>
        <v>2.9713636826129348</v>
      </c>
      <c r="W464" s="26"/>
      <c r="X464">
        <v>0.05</v>
      </c>
      <c r="Y464" s="1">
        <v>0.5373</v>
      </c>
      <c r="Z464" s="1">
        <v>0.43</v>
      </c>
      <c r="AA464" s="1">
        <v>10753</v>
      </c>
      <c r="AB464" s="1">
        <v>54</v>
      </c>
      <c r="AC464" s="29">
        <v>1701</v>
      </c>
    </row>
    <row r="465" spans="1:29" ht="25.5">
      <c r="A465" s="12">
        <v>25</v>
      </c>
      <c r="B465" s="12" t="s">
        <v>519</v>
      </c>
      <c r="C465" s="12">
        <v>25086</v>
      </c>
      <c r="D465" s="12" t="s">
        <v>526</v>
      </c>
      <c r="E465" s="17">
        <v>0.90613718411552346</v>
      </c>
      <c r="F465" s="17">
        <v>9.3862815884476536E-2</v>
      </c>
      <c r="G465" s="13">
        <v>0.65054015969938939</v>
      </c>
      <c r="H465" s="13">
        <v>9.5801526717557248</v>
      </c>
      <c r="I465" s="14">
        <v>7.2341771797498486</v>
      </c>
      <c r="J465" s="16">
        <v>0.85240000000000005</v>
      </c>
      <c r="K465" s="16">
        <v>0.85240000000000005</v>
      </c>
      <c r="L465" s="13">
        <v>0.41670000000000001</v>
      </c>
      <c r="M465" s="13">
        <v>4.3900000000000002E-2</v>
      </c>
      <c r="N465" s="13">
        <v>4.3900000000000002E-2</v>
      </c>
      <c r="O465" s="13">
        <v>0</v>
      </c>
      <c r="P465" s="16">
        <v>0.88569999999999993</v>
      </c>
      <c r="Q465" s="16">
        <v>0.8841</v>
      </c>
      <c r="R465" s="16">
        <v>0.8841</v>
      </c>
      <c r="S465" s="16">
        <f t="shared" si="14"/>
        <v>0.88463333333333338</v>
      </c>
      <c r="T465" s="18">
        <v>0.77551020408163196</v>
      </c>
      <c r="U465" s="1">
        <v>100</v>
      </c>
      <c r="V465" s="1">
        <f t="shared" si="15"/>
        <v>4.6151205168412597</v>
      </c>
      <c r="W465" s="25"/>
      <c r="X465">
        <v>0.23100000000000001</v>
      </c>
      <c r="Y465" s="1">
        <v>7.9299999999999995E-2</v>
      </c>
      <c r="Z465" s="1">
        <v>7.6300000000000007E-2</v>
      </c>
      <c r="AA465" s="1">
        <v>1805</v>
      </c>
      <c r="AB465" s="1">
        <v>10</v>
      </c>
      <c r="AC465" s="29">
        <v>301</v>
      </c>
    </row>
    <row r="466" spans="1:29" ht="25.5">
      <c r="A466" s="12">
        <v>25</v>
      </c>
      <c r="B466" s="12" t="s">
        <v>519</v>
      </c>
      <c r="C466" s="12">
        <v>25095</v>
      </c>
      <c r="D466" s="12" t="s">
        <v>527</v>
      </c>
      <c r="E466" s="17">
        <v>0.89922940130409013</v>
      </c>
      <c r="F466" s="17">
        <v>0.1007705986959099</v>
      </c>
      <c r="G466" s="13">
        <v>0.57302989130434778</v>
      </c>
      <c r="H466" s="13">
        <v>8.871345029239766</v>
      </c>
      <c r="I466" s="14">
        <v>7.4312996751559028</v>
      </c>
      <c r="J466" s="16">
        <v>1.0276000000000001</v>
      </c>
      <c r="K466" s="16">
        <v>1.0276000000000001</v>
      </c>
      <c r="L466" s="13">
        <v>0.76190000000000002</v>
      </c>
      <c r="M466" s="13">
        <v>2.1000000000000001E-2</v>
      </c>
      <c r="N466" s="13">
        <v>6.9900000000000004E-2</v>
      </c>
      <c r="O466" s="13">
        <v>6.7599999999999993E-2</v>
      </c>
      <c r="P466" s="16">
        <v>0.33549999999999996</v>
      </c>
      <c r="Q466" s="16">
        <v>0.129</v>
      </c>
      <c r="R466" s="16">
        <v>0.1217</v>
      </c>
      <c r="S466" s="16">
        <f t="shared" si="14"/>
        <v>0.19539999999999999</v>
      </c>
      <c r="T466" s="18">
        <v>0.89317995069843803</v>
      </c>
      <c r="U466" s="1">
        <v>0</v>
      </c>
      <c r="V466" s="1">
        <f t="shared" si="15"/>
        <v>0</v>
      </c>
      <c r="W466" s="26"/>
      <c r="X466">
        <v>5.4699999999999999E-2</v>
      </c>
      <c r="Y466" s="1">
        <v>0.187</v>
      </c>
      <c r="Z466" s="1">
        <v>0.1714</v>
      </c>
      <c r="AA466" s="1">
        <v>2476</v>
      </c>
      <c r="AB466" s="1">
        <v>11</v>
      </c>
      <c r="AC466" s="29">
        <v>349</v>
      </c>
    </row>
    <row r="467" spans="1:29" ht="25.5">
      <c r="A467" s="12">
        <v>25</v>
      </c>
      <c r="B467" s="12" t="s">
        <v>519</v>
      </c>
      <c r="C467" s="12">
        <v>25099</v>
      </c>
      <c r="D467" s="12" t="s">
        <v>528</v>
      </c>
      <c r="E467" s="17">
        <v>0.4460573476702509</v>
      </c>
      <c r="F467" s="17">
        <v>0.55394265232974915</v>
      </c>
      <c r="G467" s="13">
        <v>0.45778981048486339</v>
      </c>
      <c r="H467" s="13">
        <v>0.80498059508408792</v>
      </c>
      <c r="I467" s="14">
        <v>8.6271232507884328</v>
      </c>
      <c r="J467" s="16">
        <v>0.7752</v>
      </c>
      <c r="K467" s="16">
        <v>0.7752</v>
      </c>
      <c r="L467" s="13">
        <v>0.44990000000000002</v>
      </c>
      <c r="M467" s="13">
        <v>2.3599999999999999E-2</v>
      </c>
      <c r="N467" s="13">
        <v>7.85E-2</v>
      </c>
      <c r="O467" s="13">
        <v>5.0700000000000002E-2</v>
      </c>
      <c r="P467" s="16">
        <v>0.81579999999999997</v>
      </c>
      <c r="Q467" s="16">
        <v>0.62319999999999998</v>
      </c>
      <c r="R467" s="16">
        <v>0.63070000000000004</v>
      </c>
      <c r="S467" s="16">
        <f t="shared" si="14"/>
        <v>0.68990000000000007</v>
      </c>
      <c r="T467" s="18">
        <v>0.86500519210799498</v>
      </c>
      <c r="U467" s="1">
        <v>19.801980199999999</v>
      </c>
      <c r="V467" s="1">
        <f t="shared" si="15"/>
        <v>3.0350481840989336</v>
      </c>
      <c r="W467" s="25"/>
      <c r="X467">
        <v>0.18290000000000001</v>
      </c>
      <c r="Y467" s="1">
        <v>1.2811999999999999</v>
      </c>
      <c r="Z467" s="1">
        <v>0.82469999999999999</v>
      </c>
      <c r="AA467" s="1">
        <v>10793</v>
      </c>
      <c r="AB467" s="1">
        <v>101</v>
      </c>
      <c r="AC467" s="29">
        <v>2062</v>
      </c>
    </row>
    <row r="468" spans="1:29" ht="25.5">
      <c r="A468" s="12">
        <v>25</v>
      </c>
      <c r="B468" s="12" t="s">
        <v>519</v>
      </c>
      <c r="C468" s="12">
        <v>25120</v>
      </c>
      <c r="D468" s="12" t="s">
        <v>529</v>
      </c>
      <c r="E468" s="17">
        <v>0.92927974947807934</v>
      </c>
      <c r="F468" s="17">
        <v>7.0720250521920672E-2</v>
      </c>
      <c r="G468" s="13">
        <v>0.67488552307150407</v>
      </c>
      <c r="H468" s="13">
        <v>13.091911764705882</v>
      </c>
      <c r="I468" s="14">
        <v>8.2514030653805559</v>
      </c>
      <c r="J468" s="16">
        <v>0.6613</v>
      </c>
      <c r="K468" s="16">
        <v>0.6613</v>
      </c>
      <c r="L468" s="13">
        <v>0.54339999999999999</v>
      </c>
      <c r="M468" s="13">
        <v>1.38E-2</v>
      </c>
      <c r="N468" s="13">
        <v>2.2499999999999999E-2</v>
      </c>
      <c r="O468" s="13">
        <v>4.8800000000000003E-2</v>
      </c>
      <c r="P468" s="16">
        <v>0.13600000000000001</v>
      </c>
      <c r="Q468" s="16">
        <v>8.4499999999999992E-2</v>
      </c>
      <c r="R468" s="16">
        <v>8.4499999999999992E-2</v>
      </c>
      <c r="S468" s="16">
        <f t="shared" si="14"/>
        <v>0.10166666666666667</v>
      </c>
      <c r="T468" s="18">
        <v>0.903669724770642</v>
      </c>
      <c r="U468" s="1">
        <v>0</v>
      </c>
      <c r="V468" s="1">
        <f t="shared" si="15"/>
        <v>0</v>
      </c>
      <c r="W468" s="26"/>
      <c r="X468">
        <v>3.0300000000000001E-2</v>
      </c>
      <c r="Y468" s="1">
        <v>2.3199999999999998E-2</v>
      </c>
      <c r="Z468" s="1">
        <v>2.3E-2</v>
      </c>
      <c r="AA468" s="1">
        <v>4887</v>
      </c>
      <c r="AB468" s="1">
        <v>37</v>
      </c>
      <c r="AC468" s="29">
        <v>1061</v>
      </c>
    </row>
    <row r="469" spans="1:29" ht="25.5">
      <c r="A469" s="12">
        <v>25</v>
      </c>
      <c r="B469" s="12" t="s">
        <v>519</v>
      </c>
      <c r="C469" s="12">
        <v>25123</v>
      </c>
      <c r="D469" s="12" t="s">
        <v>530</v>
      </c>
      <c r="E469" s="17">
        <v>0.80288582183186952</v>
      </c>
      <c r="F469" s="17">
        <v>0.19711417816813048</v>
      </c>
      <c r="G469" s="13">
        <v>0.66455432335529063</v>
      </c>
      <c r="H469" s="13">
        <v>4.0706106870229011</v>
      </c>
      <c r="I469" s="14">
        <v>8.9835652344279229</v>
      </c>
      <c r="J469" s="16">
        <v>0.67479999999999996</v>
      </c>
      <c r="K469" s="16">
        <v>0.67479999999999996</v>
      </c>
      <c r="L469" s="13">
        <v>0.37219999999999998</v>
      </c>
      <c r="M469" s="13">
        <v>5.2699999999999997E-2</v>
      </c>
      <c r="N469" s="13">
        <v>9.9900000000000003E-2</v>
      </c>
      <c r="O469" s="13">
        <v>1.54E-2</v>
      </c>
      <c r="P469" s="16">
        <v>0.97530000000000006</v>
      </c>
      <c r="Q469" s="16">
        <v>0.32400000000000001</v>
      </c>
      <c r="R469" s="16">
        <v>0.2361</v>
      </c>
      <c r="S469" s="16">
        <f t="shared" si="14"/>
        <v>0.51180000000000003</v>
      </c>
      <c r="T469" s="18">
        <v>0.86452665941240392</v>
      </c>
      <c r="U469" s="1">
        <v>0</v>
      </c>
      <c r="V469" s="1">
        <f t="shared" si="15"/>
        <v>0</v>
      </c>
      <c r="W469" s="25"/>
      <c r="X469">
        <v>5.4600000000000003E-2</v>
      </c>
      <c r="Y469" s="1">
        <v>1.2094</v>
      </c>
      <c r="Z469" s="1">
        <v>0.79269999999999996</v>
      </c>
      <c r="AA469" s="1">
        <v>10338</v>
      </c>
      <c r="AB469" s="1">
        <v>77</v>
      </c>
      <c r="AC469" s="29">
        <v>1654</v>
      </c>
    </row>
    <row r="470" spans="1:29" ht="25.5">
      <c r="A470" s="12">
        <v>25</v>
      </c>
      <c r="B470" s="12" t="s">
        <v>519</v>
      </c>
      <c r="C470" s="12">
        <v>25126</v>
      </c>
      <c r="D470" s="12" t="s">
        <v>531</v>
      </c>
      <c r="E470" s="17">
        <v>0.22958211191881484</v>
      </c>
      <c r="F470" s="17">
        <v>0.77041788808118516</v>
      </c>
      <c r="G470" s="13">
        <v>0.74888267606465708</v>
      </c>
      <c r="H470" s="13">
        <v>0.29799177600709786</v>
      </c>
      <c r="I470" s="14">
        <v>11.239461829756003</v>
      </c>
      <c r="J470" s="16">
        <v>0.85940000000000005</v>
      </c>
      <c r="K470" s="16">
        <v>0.84770000000000001</v>
      </c>
      <c r="L470" s="13">
        <v>0.55010000000000003</v>
      </c>
      <c r="M470" s="13">
        <v>3.2899999999999999E-2</v>
      </c>
      <c r="N470" s="13">
        <v>7.6600000000000001E-2</v>
      </c>
      <c r="O470" s="13">
        <v>6.0999999999999999E-2</v>
      </c>
      <c r="P470" s="16">
        <v>1</v>
      </c>
      <c r="Q470" s="16">
        <v>0.93840000000000001</v>
      </c>
      <c r="R470" s="16">
        <v>0.99129999999999996</v>
      </c>
      <c r="S470" s="16">
        <f t="shared" si="14"/>
        <v>0.97656666666666669</v>
      </c>
      <c r="T470" s="18">
        <v>1</v>
      </c>
      <c r="U470" s="1">
        <v>5.8207217690000004</v>
      </c>
      <c r="V470" s="1">
        <f t="shared" si="15"/>
        <v>1.9199652974873127</v>
      </c>
      <c r="W470" s="26"/>
      <c r="X470">
        <v>0.43909999999999999</v>
      </c>
      <c r="Y470" s="1">
        <v>16.4712</v>
      </c>
      <c r="Z470" s="1">
        <v>2.8605999999999998</v>
      </c>
      <c r="AA470" s="1">
        <v>118870</v>
      </c>
      <c r="AB470" s="1">
        <v>859</v>
      </c>
      <c r="AC470" s="29">
        <v>21265</v>
      </c>
    </row>
    <row r="471" spans="1:29" ht="25.5">
      <c r="A471" s="12">
        <v>25</v>
      </c>
      <c r="B471" s="12" t="s">
        <v>519</v>
      </c>
      <c r="C471" s="12">
        <v>25148</v>
      </c>
      <c r="D471" s="12" t="s">
        <v>532</v>
      </c>
      <c r="E471" s="17">
        <v>0.93783633327147897</v>
      </c>
      <c r="F471" s="17">
        <v>6.2163666728521062E-2</v>
      </c>
      <c r="G471" s="13">
        <v>0.72780066175974067</v>
      </c>
      <c r="H471" s="13">
        <v>15.064083457526081</v>
      </c>
      <c r="I471" s="14">
        <v>9.285355075781629</v>
      </c>
      <c r="J471" s="16">
        <v>0.71419999999999995</v>
      </c>
      <c r="K471" s="16">
        <v>0.71419999999999995</v>
      </c>
      <c r="L471" s="13">
        <v>0.50380000000000003</v>
      </c>
      <c r="M471" s="13">
        <v>3.4200000000000001E-2</v>
      </c>
      <c r="N471" s="13">
        <v>6.3899999999999998E-2</v>
      </c>
      <c r="O471" s="13">
        <v>5.8799999999999998E-2</v>
      </c>
      <c r="P471" s="16">
        <v>0.17030000000000001</v>
      </c>
      <c r="Q471" s="16">
        <v>8.5000000000000006E-2</v>
      </c>
      <c r="R471" s="16">
        <v>9.9299999999999999E-2</v>
      </c>
      <c r="S471" s="16">
        <f t="shared" si="14"/>
        <v>0.11820000000000001</v>
      </c>
      <c r="T471" s="18">
        <v>0.71039215686274504</v>
      </c>
      <c r="U471" s="1">
        <v>19.60784314</v>
      </c>
      <c r="V471" s="1">
        <f t="shared" si="15"/>
        <v>3.025671738285832</v>
      </c>
      <c r="W471" s="25"/>
      <c r="X471">
        <v>5.3499999999999999E-2</v>
      </c>
      <c r="Y471" s="1">
        <v>4.8899999999999999E-2</v>
      </c>
      <c r="Z471" s="1">
        <v>4.7800000000000002E-2</v>
      </c>
      <c r="AA471" s="1">
        <v>11509</v>
      </c>
      <c r="AB471" s="1">
        <v>51</v>
      </c>
      <c r="AC471" s="29">
        <v>1838</v>
      </c>
    </row>
    <row r="472" spans="1:29" ht="25.5">
      <c r="A472" s="12">
        <v>25</v>
      </c>
      <c r="B472" s="12" t="s">
        <v>519</v>
      </c>
      <c r="C472" s="12">
        <v>25151</v>
      </c>
      <c r="D472" s="12" t="s">
        <v>533</v>
      </c>
      <c r="E472" s="17">
        <v>0.72932369912148465</v>
      </c>
      <c r="F472" s="17">
        <v>0.27067630087851535</v>
      </c>
      <c r="G472" s="13">
        <v>0.93692772257938828</v>
      </c>
      <c r="H472" s="13">
        <v>2.6939324116743473</v>
      </c>
      <c r="I472" s="14">
        <v>9.8646427687125602</v>
      </c>
      <c r="J472" s="16">
        <v>0.80200000000000005</v>
      </c>
      <c r="K472" s="16">
        <v>0.80120000000000002</v>
      </c>
      <c r="L472" s="13">
        <v>0.4637</v>
      </c>
      <c r="M472" s="13">
        <v>2.4E-2</v>
      </c>
      <c r="N472" s="13">
        <v>7.0000000000000007E-2</v>
      </c>
      <c r="O472" s="13">
        <v>6.8699999999999997E-2</v>
      </c>
      <c r="P472" s="16">
        <v>0</v>
      </c>
      <c r="Q472" s="16">
        <v>0</v>
      </c>
      <c r="R472" s="16">
        <v>0</v>
      </c>
      <c r="S472" s="16">
        <f t="shared" si="14"/>
        <v>0</v>
      </c>
      <c r="T472" s="18">
        <v>0.94664074314106694</v>
      </c>
      <c r="U472" s="1">
        <v>17.543859650000002</v>
      </c>
      <c r="V472" s="1">
        <f t="shared" si="15"/>
        <v>2.9201387180829914</v>
      </c>
      <c r="W472" s="26"/>
      <c r="X472">
        <v>0.13739999999999999</v>
      </c>
      <c r="Y472" s="1">
        <v>1.0472999999999999</v>
      </c>
      <c r="Z472" s="1">
        <v>0.71650000000000003</v>
      </c>
      <c r="AA472" s="1">
        <v>18061</v>
      </c>
      <c r="AB472" s="1">
        <v>171</v>
      </c>
      <c r="AC472" s="29">
        <v>3157</v>
      </c>
    </row>
    <row r="473" spans="1:29" ht="25.5">
      <c r="A473" s="12">
        <v>25</v>
      </c>
      <c r="B473" s="12" t="s">
        <v>519</v>
      </c>
      <c r="C473" s="12">
        <v>25154</v>
      </c>
      <c r="D473" s="12" t="s">
        <v>534</v>
      </c>
      <c r="E473" s="17">
        <v>0.83822706935123048</v>
      </c>
      <c r="F473" s="17">
        <v>0.16177293064876958</v>
      </c>
      <c r="G473" s="13">
        <v>0.79510839355197327</v>
      </c>
      <c r="H473" s="13">
        <v>5.1770293609671851</v>
      </c>
      <c r="I473" s="14">
        <v>8.8752871281083845</v>
      </c>
      <c r="J473" s="16">
        <v>0.6593</v>
      </c>
      <c r="K473" s="16">
        <v>0.6593</v>
      </c>
      <c r="L473" s="13">
        <v>0.43640000000000001</v>
      </c>
      <c r="M473" s="13">
        <v>2.0400000000000001E-2</v>
      </c>
      <c r="N473" s="13">
        <v>7.1800000000000003E-2</v>
      </c>
      <c r="O473" s="13">
        <v>0</v>
      </c>
      <c r="P473" s="16">
        <v>0.97170000000000001</v>
      </c>
      <c r="Q473" s="16">
        <v>0.30180000000000001</v>
      </c>
      <c r="R473" s="16">
        <v>0.30120000000000002</v>
      </c>
      <c r="S473" s="16">
        <f t="shared" si="14"/>
        <v>0.52490000000000003</v>
      </c>
      <c r="T473" s="18">
        <v>0.87775430123754905</v>
      </c>
      <c r="U473" s="1">
        <v>0</v>
      </c>
      <c r="V473" s="1">
        <f t="shared" si="15"/>
        <v>0</v>
      </c>
      <c r="W473" s="25"/>
      <c r="X473">
        <v>4.53E-2</v>
      </c>
      <c r="Y473" s="1">
        <v>9.4600000000000004E-2</v>
      </c>
      <c r="Z473" s="1">
        <v>9.0399999999999994E-2</v>
      </c>
      <c r="AA473" s="1">
        <v>7764</v>
      </c>
      <c r="AB473" s="1">
        <v>50</v>
      </c>
      <c r="AC473" s="29">
        <v>1441</v>
      </c>
    </row>
    <row r="474" spans="1:29" ht="25.5">
      <c r="A474" s="12">
        <v>25</v>
      </c>
      <c r="B474" s="12" t="s">
        <v>519</v>
      </c>
      <c r="C474" s="12">
        <v>25168</v>
      </c>
      <c r="D474" s="12" t="s">
        <v>535</v>
      </c>
      <c r="E474" s="17">
        <v>0.91443261109070872</v>
      </c>
      <c r="F474" s="17">
        <v>8.556738890929122E-2</v>
      </c>
      <c r="G474" s="13">
        <v>0.54910264166162537</v>
      </c>
      <c r="H474" s="13">
        <v>10.641025641025641</v>
      </c>
      <c r="I474" s="14">
        <v>7.9098566672694028</v>
      </c>
      <c r="J474" s="16">
        <v>0.61550000000000005</v>
      </c>
      <c r="K474" s="16">
        <v>0.61550000000000005</v>
      </c>
      <c r="L474" s="13">
        <v>0.42280000000000001</v>
      </c>
      <c r="M474" s="13">
        <v>5.3800000000000001E-2</v>
      </c>
      <c r="N474" s="13">
        <v>7.4499999999999997E-2</v>
      </c>
      <c r="O474" s="13">
        <v>0</v>
      </c>
      <c r="P474" s="16">
        <v>0.46880000000000005</v>
      </c>
      <c r="Q474" s="16">
        <v>0.27679999999999999</v>
      </c>
      <c r="R474" s="16">
        <v>0.27679999999999999</v>
      </c>
      <c r="S474" s="16">
        <f t="shared" si="14"/>
        <v>0.34079999999999999</v>
      </c>
      <c r="T474" s="18">
        <v>0.68131188118811803</v>
      </c>
      <c r="U474" s="1">
        <v>0</v>
      </c>
      <c r="V474" s="1">
        <f t="shared" si="15"/>
        <v>0</v>
      </c>
      <c r="W474" s="26"/>
      <c r="X474">
        <v>4.6100000000000002E-2</v>
      </c>
      <c r="Y474" s="1">
        <v>3.8399999999999997E-2</v>
      </c>
      <c r="Z474" s="1">
        <v>3.7699999999999997E-2</v>
      </c>
      <c r="AA474" s="1">
        <v>4366</v>
      </c>
      <c r="AB474" s="1">
        <v>12</v>
      </c>
      <c r="AC474" s="29">
        <v>666</v>
      </c>
    </row>
    <row r="475" spans="1:29" ht="25.5">
      <c r="A475" s="12">
        <v>25</v>
      </c>
      <c r="B475" s="12" t="s">
        <v>519</v>
      </c>
      <c r="C475" s="12">
        <v>25175</v>
      </c>
      <c r="D475" s="12" t="s">
        <v>536</v>
      </c>
      <c r="E475" s="17">
        <v>0.18106215675089202</v>
      </c>
      <c r="F475" s="17">
        <v>0.81893784324910801</v>
      </c>
      <c r="G475" s="13">
        <v>1</v>
      </c>
      <c r="H475" s="13">
        <v>0.22109238417832167</v>
      </c>
      <c r="I475" s="14">
        <v>12.094062290843357</v>
      </c>
      <c r="J475" s="16">
        <v>1.083</v>
      </c>
      <c r="K475" s="16">
        <v>1.0703</v>
      </c>
      <c r="L475" s="13">
        <v>0.67959999999999998</v>
      </c>
      <c r="M475" s="13">
        <v>3.3599999999999998E-2</v>
      </c>
      <c r="N475" s="13">
        <v>8.1199999999999994E-2</v>
      </c>
      <c r="O475" s="13">
        <v>8.1299999999999997E-2</v>
      </c>
      <c r="P475" s="16">
        <v>1</v>
      </c>
      <c r="Q475" s="16">
        <v>0.99470000000000003</v>
      </c>
      <c r="R475" s="16">
        <v>0.99519999999999997</v>
      </c>
      <c r="S475" s="16">
        <f t="shared" si="14"/>
        <v>0.99663333333333337</v>
      </c>
      <c r="T475" s="18">
        <v>1</v>
      </c>
      <c r="U475" s="1">
        <v>7.2815533979999998</v>
      </c>
      <c r="V475" s="1">
        <f t="shared" si="15"/>
        <v>2.1140305592550095</v>
      </c>
      <c r="W475" s="25"/>
      <c r="X475">
        <v>0.51439999999999997</v>
      </c>
      <c r="Y475" s="1">
        <v>17.177099999999999</v>
      </c>
      <c r="Z475" s="1">
        <v>2.9001999999999999</v>
      </c>
      <c r="AA475" s="1">
        <v>169539</v>
      </c>
      <c r="AB475" s="1">
        <v>1236</v>
      </c>
      <c r="AC475" s="29">
        <v>28405</v>
      </c>
    </row>
    <row r="476" spans="1:29" ht="25.5">
      <c r="A476" s="12">
        <v>25</v>
      </c>
      <c r="B476" s="12" t="s">
        <v>519</v>
      </c>
      <c r="C476" s="12">
        <v>25178</v>
      </c>
      <c r="D476" s="12" t="s">
        <v>537</v>
      </c>
      <c r="E476" s="17">
        <v>0.79203795856961001</v>
      </c>
      <c r="F476" s="17">
        <v>0.20796204143038999</v>
      </c>
      <c r="G476" s="13">
        <v>0.75878117316473481</v>
      </c>
      <c r="H476" s="13">
        <v>3.806451612903226</v>
      </c>
      <c r="I476" s="14">
        <v>9.0643893164918783</v>
      </c>
      <c r="J476" s="16">
        <v>0.75900000000000001</v>
      </c>
      <c r="K476" s="16">
        <v>0.75900000000000001</v>
      </c>
      <c r="L476" s="13">
        <v>0.40679999999999999</v>
      </c>
      <c r="M476" s="13">
        <v>1.9400000000000001E-2</v>
      </c>
      <c r="N476" s="13">
        <v>0.1026</v>
      </c>
      <c r="O476" s="13">
        <v>5.0000000000000001E-3</v>
      </c>
      <c r="P476" s="16">
        <v>0.7752</v>
      </c>
      <c r="Q476" s="16">
        <v>0.29160000000000003</v>
      </c>
      <c r="R476" s="16">
        <v>0.29010000000000002</v>
      </c>
      <c r="S476" s="16">
        <f t="shared" si="14"/>
        <v>0.45229999999999998</v>
      </c>
      <c r="T476" s="18">
        <v>0.97663903541823605</v>
      </c>
      <c r="U476" s="1">
        <v>10.989010990000001</v>
      </c>
      <c r="V476" s="1">
        <f t="shared" si="15"/>
        <v>2.483990479398714</v>
      </c>
      <c r="W476" s="26"/>
      <c r="X476">
        <v>0.151</v>
      </c>
      <c r="Y476" s="1">
        <v>1.4726999999999999</v>
      </c>
      <c r="Z476" s="1">
        <v>0.90529999999999999</v>
      </c>
      <c r="AA476" s="1">
        <v>10150</v>
      </c>
      <c r="AB476" s="1">
        <v>91</v>
      </c>
      <c r="AC476" s="29">
        <v>1807</v>
      </c>
    </row>
    <row r="477" spans="1:29" ht="25.5">
      <c r="A477" s="12">
        <v>25</v>
      </c>
      <c r="B477" s="12" t="s">
        <v>519</v>
      </c>
      <c r="C477" s="12">
        <v>25181</v>
      </c>
      <c r="D477" s="12" t="s">
        <v>538</v>
      </c>
      <c r="E477" s="17">
        <v>0.78895066840175088</v>
      </c>
      <c r="F477" s="17">
        <v>0.21104933159824915</v>
      </c>
      <c r="G477" s="13">
        <v>0.64467663209273951</v>
      </c>
      <c r="H477" s="13">
        <v>3.7361344537815127</v>
      </c>
      <c r="I477" s="14">
        <v>9.0423949811267352</v>
      </c>
      <c r="J477" s="16">
        <v>0.8125</v>
      </c>
      <c r="K477" s="16">
        <v>0.8125</v>
      </c>
      <c r="L477" s="13">
        <v>0.65500000000000003</v>
      </c>
      <c r="M477" s="13">
        <v>1.7500000000000002E-2</v>
      </c>
      <c r="N477" s="13">
        <v>4.6199999999999998E-2</v>
      </c>
      <c r="O477" s="13">
        <v>2.98E-2</v>
      </c>
      <c r="P477" s="16">
        <v>0.16</v>
      </c>
      <c r="Q477" s="16">
        <v>0.18170000000000003</v>
      </c>
      <c r="R477" s="16">
        <v>0.1787</v>
      </c>
      <c r="S477" s="16">
        <f t="shared" si="14"/>
        <v>0.17346666666666666</v>
      </c>
      <c r="T477" s="18">
        <v>0.99707002636976194</v>
      </c>
      <c r="U477" s="1">
        <v>0</v>
      </c>
      <c r="V477" s="1">
        <f t="shared" si="15"/>
        <v>0</v>
      </c>
      <c r="W477" s="25"/>
      <c r="X477">
        <v>9.35E-2</v>
      </c>
      <c r="Y477" s="1">
        <v>0.19839999999999999</v>
      </c>
      <c r="Z477" s="1">
        <v>0.18099999999999999</v>
      </c>
      <c r="AA477" s="1">
        <v>11283</v>
      </c>
      <c r="AB477" s="1">
        <v>74</v>
      </c>
      <c r="AC477" s="29">
        <v>1871</v>
      </c>
    </row>
    <row r="478" spans="1:29" ht="25.5">
      <c r="A478" s="12">
        <v>25</v>
      </c>
      <c r="B478" s="12" t="s">
        <v>519</v>
      </c>
      <c r="C478" s="12">
        <v>25183</v>
      </c>
      <c r="D478" s="12" t="s">
        <v>539</v>
      </c>
      <c r="E478" s="17">
        <v>0.60088742509491788</v>
      </c>
      <c r="F478" s="17">
        <v>0.39911257490508212</v>
      </c>
      <c r="G478" s="13">
        <v>0.87693048257050021</v>
      </c>
      <c r="H478" s="13">
        <v>1.5053862021544808</v>
      </c>
      <c r="I478" s="14">
        <v>9.9925052488537816</v>
      </c>
      <c r="J478" s="16">
        <v>0.75070000000000003</v>
      </c>
      <c r="K478" s="16">
        <v>0.75070000000000003</v>
      </c>
      <c r="L478" s="13">
        <v>0.35499999999999998</v>
      </c>
      <c r="M478" s="13">
        <v>1.7999999999999999E-2</v>
      </c>
      <c r="N478" s="13">
        <v>9.2999999999999999E-2</v>
      </c>
      <c r="O478" s="13">
        <v>6.3E-2</v>
      </c>
      <c r="P478" s="16">
        <v>0.89549999999999996</v>
      </c>
      <c r="Q478" s="16">
        <v>0.50060000000000004</v>
      </c>
      <c r="R478" s="16">
        <v>0.47889999999999999</v>
      </c>
      <c r="S478" s="16">
        <f t="shared" si="14"/>
        <v>0.625</v>
      </c>
      <c r="T478" s="18">
        <v>0.77595740323571505</v>
      </c>
      <c r="U478" s="1">
        <v>19.801980199999999</v>
      </c>
      <c r="V478" s="1">
        <f t="shared" si="15"/>
        <v>3.0350481840989336</v>
      </c>
      <c r="W478" s="26"/>
      <c r="X478">
        <v>0.1089</v>
      </c>
      <c r="Y478" s="1">
        <v>0.4778</v>
      </c>
      <c r="Z478" s="1">
        <v>0.39050000000000001</v>
      </c>
      <c r="AA478" s="1">
        <v>21836</v>
      </c>
      <c r="AB478" s="1">
        <v>202</v>
      </c>
      <c r="AC478" s="29">
        <v>4445</v>
      </c>
    </row>
    <row r="479" spans="1:29" ht="25.5">
      <c r="A479" s="12">
        <v>25</v>
      </c>
      <c r="B479" s="12" t="s">
        <v>519</v>
      </c>
      <c r="C479" s="12">
        <v>25200</v>
      </c>
      <c r="D479" s="12" t="s">
        <v>540</v>
      </c>
      <c r="E479" s="17">
        <v>0.47264142989629881</v>
      </c>
      <c r="F479" s="17">
        <v>0.52735857010370124</v>
      </c>
      <c r="G479" s="13">
        <v>0.44142165984369186</v>
      </c>
      <c r="H479" s="13">
        <v>0.8960997442455243</v>
      </c>
      <c r="I479" s="14">
        <v>9.3810952923986726</v>
      </c>
      <c r="J479" s="16">
        <v>0.89029999999999998</v>
      </c>
      <c r="K479" s="16">
        <v>0.88959999999999995</v>
      </c>
      <c r="L479" s="13">
        <v>0.51649999999999996</v>
      </c>
      <c r="M479" s="13">
        <v>2.7400000000000001E-2</v>
      </c>
      <c r="N479" s="13">
        <v>0.1157</v>
      </c>
      <c r="O479" s="13">
        <v>1.4E-3</v>
      </c>
      <c r="P479" s="16">
        <v>0.95950000000000002</v>
      </c>
      <c r="Q479" s="16">
        <v>0.45979999999999999</v>
      </c>
      <c r="R479" s="16">
        <v>0.52429999999999999</v>
      </c>
      <c r="S479" s="16">
        <f t="shared" si="14"/>
        <v>0.6478666666666667</v>
      </c>
      <c r="T479" s="18">
        <v>1</v>
      </c>
      <c r="U479" s="1">
        <v>5.3763440859999996</v>
      </c>
      <c r="V479" s="1">
        <f t="shared" si="15"/>
        <v>1.8525949058410969</v>
      </c>
      <c r="W479" s="25"/>
      <c r="X479">
        <v>0.66139999999999999</v>
      </c>
      <c r="Y479" s="1">
        <v>1.9772000000000001</v>
      </c>
      <c r="Z479" s="1">
        <v>1.091</v>
      </c>
      <c r="AA479" s="1">
        <v>24963</v>
      </c>
      <c r="AB479" s="1">
        <v>186</v>
      </c>
      <c r="AC479" s="29">
        <v>4449</v>
      </c>
    </row>
    <row r="480" spans="1:29" ht="25.5">
      <c r="A480" s="12">
        <v>25</v>
      </c>
      <c r="B480" s="12" t="s">
        <v>519</v>
      </c>
      <c r="C480" s="12">
        <v>25214</v>
      </c>
      <c r="D480" s="12" t="s">
        <v>541</v>
      </c>
      <c r="E480" s="17">
        <v>0.32778889444722359</v>
      </c>
      <c r="F480" s="17">
        <v>0.67221110555277641</v>
      </c>
      <c r="G480" s="13">
        <v>0.59499950391903955</v>
      </c>
      <c r="H480" s="13">
        <v>0.48759766836165197</v>
      </c>
      <c r="I480" s="14">
        <v>10.085350670929921</v>
      </c>
      <c r="J480" s="16">
        <v>1.7849999999999999</v>
      </c>
      <c r="K480" s="16">
        <v>1.7743</v>
      </c>
      <c r="L480" s="13">
        <v>1.4371</v>
      </c>
      <c r="M480" s="13">
        <v>2.9499999999999998E-2</v>
      </c>
      <c r="N480" s="13">
        <v>8.4699999999999998E-2</v>
      </c>
      <c r="O480" s="13">
        <v>5.7599999999999998E-2</v>
      </c>
      <c r="P480" s="16">
        <v>1</v>
      </c>
      <c r="Q480" s="16">
        <v>0.99340000000000006</v>
      </c>
      <c r="R480" s="16">
        <v>1</v>
      </c>
      <c r="S480" s="16">
        <f t="shared" si="14"/>
        <v>0.99780000000000013</v>
      </c>
      <c r="T480" s="18">
        <v>1</v>
      </c>
      <c r="U480" s="1">
        <v>0</v>
      </c>
      <c r="V480" s="1">
        <f t="shared" si="15"/>
        <v>0</v>
      </c>
      <c r="W480" s="26"/>
      <c r="X480" s="28">
        <v>2606</v>
      </c>
      <c r="Y480" s="1">
        <v>16.562799999999999</v>
      </c>
      <c r="Z480" s="1">
        <v>2.8658000000000001</v>
      </c>
      <c r="AA480" s="1">
        <v>46260</v>
      </c>
      <c r="AB480" s="1">
        <v>271</v>
      </c>
      <c r="AC480" s="29">
        <v>8737</v>
      </c>
    </row>
    <row r="481" spans="1:29" ht="25.5">
      <c r="A481" s="12">
        <v>25</v>
      </c>
      <c r="B481" s="12" t="s">
        <v>519</v>
      </c>
      <c r="C481" s="12">
        <v>25224</v>
      </c>
      <c r="D481" s="12" t="s">
        <v>542</v>
      </c>
      <c r="E481" s="17">
        <v>0.44704495706347869</v>
      </c>
      <c r="F481" s="17">
        <v>0.55295504293652131</v>
      </c>
      <c r="G481" s="13">
        <v>0.64645695003809733</v>
      </c>
      <c r="H481" s="13">
        <v>0.80821917808219179</v>
      </c>
      <c r="I481" s="14">
        <v>8.6894644123566902</v>
      </c>
      <c r="J481" s="16">
        <v>0.80120000000000002</v>
      </c>
      <c r="K481" s="16">
        <v>0.80120000000000002</v>
      </c>
      <c r="L481" s="13">
        <v>0.57030000000000003</v>
      </c>
      <c r="M481" s="13">
        <v>3.8199999999999998E-2</v>
      </c>
      <c r="N481" s="13">
        <v>6.9800000000000001E-2</v>
      </c>
      <c r="O481" s="13">
        <v>1.0500000000000001E-2</v>
      </c>
      <c r="P481" s="16">
        <v>0.60340000000000005</v>
      </c>
      <c r="Q481" s="16">
        <v>0.89700000000000002</v>
      </c>
      <c r="R481" s="16">
        <v>0.74060000000000004</v>
      </c>
      <c r="S481" s="16">
        <f t="shared" si="14"/>
        <v>0.747</v>
      </c>
      <c r="T481" s="18">
        <v>0.96397807361002297</v>
      </c>
      <c r="U481" s="1">
        <v>0</v>
      </c>
      <c r="V481" s="1">
        <f t="shared" si="15"/>
        <v>0</v>
      </c>
      <c r="W481" s="25"/>
      <c r="X481">
        <v>0.33750000000000002</v>
      </c>
      <c r="Y481" s="1">
        <v>1.4918</v>
      </c>
      <c r="Z481" s="1">
        <v>0.91300000000000003</v>
      </c>
      <c r="AA481" s="1">
        <v>8234</v>
      </c>
      <c r="AB481" s="1">
        <v>69</v>
      </c>
      <c r="AC481" s="29">
        <v>1695</v>
      </c>
    </row>
    <row r="482" spans="1:29" ht="25.5">
      <c r="A482" s="12">
        <v>25</v>
      </c>
      <c r="B482" s="12" t="s">
        <v>519</v>
      </c>
      <c r="C482" s="12">
        <v>25245</v>
      </c>
      <c r="D482" s="12" t="s">
        <v>543</v>
      </c>
      <c r="E482" s="17">
        <v>0.72271784732603561</v>
      </c>
      <c r="F482" s="17">
        <v>0.27728215267396439</v>
      </c>
      <c r="G482" s="13">
        <v>0.71317536196994191</v>
      </c>
      <c r="H482" s="13">
        <v>2.6059815684228829</v>
      </c>
      <c r="I482" s="14">
        <v>9.9397230451182228</v>
      </c>
      <c r="J482" s="16">
        <v>0.84760000000000002</v>
      </c>
      <c r="K482" s="16">
        <v>0.84760000000000002</v>
      </c>
      <c r="L482" s="13">
        <v>0.50470000000000004</v>
      </c>
      <c r="M482" s="13">
        <v>4.6300000000000001E-2</v>
      </c>
      <c r="N482" s="13">
        <v>9.6699999999999994E-2</v>
      </c>
      <c r="O482" s="13">
        <v>7.1499999999999994E-2</v>
      </c>
      <c r="P482" s="16">
        <v>0.93669999999999998</v>
      </c>
      <c r="Q482" s="16">
        <v>0.43459999999999999</v>
      </c>
      <c r="R482" s="16">
        <v>0.43229999999999996</v>
      </c>
      <c r="S482" s="16">
        <f t="shared" si="14"/>
        <v>0.60119999999999996</v>
      </c>
      <c r="T482" s="18">
        <v>0.86185997910135792</v>
      </c>
      <c r="U482" s="1">
        <v>16.260162600000001</v>
      </c>
      <c r="V482" s="1">
        <f t="shared" si="15"/>
        <v>2.8484011062366323</v>
      </c>
      <c r="W482" s="26"/>
      <c r="X482">
        <v>9.35E-2</v>
      </c>
      <c r="Y482" s="1">
        <v>1.5983000000000001</v>
      </c>
      <c r="Z482" s="1">
        <v>0.95479999999999998</v>
      </c>
      <c r="AA482" s="1">
        <v>26618</v>
      </c>
      <c r="AB482" s="1">
        <v>123</v>
      </c>
      <c r="AC482" s="29">
        <v>4095</v>
      </c>
    </row>
    <row r="483" spans="1:29" ht="25.5">
      <c r="A483" s="12">
        <v>25</v>
      </c>
      <c r="B483" s="12" t="s">
        <v>519</v>
      </c>
      <c r="C483" s="12">
        <v>25258</v>
      </c>
      <c r="D483" s="12" t="s">
        <v>544</v>
      </c>
      <c r="E483" s="17">
        <v>0.91550039609189326</v>
      </c>
      <c r="F483" s="17">
        <v>8.449960390810668E-2</v>
      </c>
      <c r="G483" s="13">
        <v>0.68729582577132486</v>
      </c>
      <c r="H483" s="13">
        <v>10.800623052959502</v>
      </c>
      <c r="I483" s="14">
        <v>8.2395934543059681</v>
      </c>
      <c r="J483" s="16">
        <v>0.62719999999999998</v>
      </c>
      <c r="K483" s="16">
        <v>0.62719999999999998</v>
      </c>
      <c r="L483" s="13">
        <v>0.46150000000000002</v>
      </c>
      <c r="M483" s="13">
        <v>2.12E-2</v>
      </c>
      <c r="N483" s="13">
        <v>6.1899999999999997E-2</v>
      </c>
      <c r="O483" s="13">
        <v>6.6799999999999998E-2</v>
      </c>
      <c r="P483" s="16">
        <v>7.9600000000000004E-2</v>
      </c>
      <c r="Q483" s="16">
        <v>7.9600000000000004E-2</v>
      </c>
      <c r="R483" s="16">
        <v>7.9600000000000004E-2</v>
      </c>
      <c r="S483" s="16">
        <f t="shared" si="14"/>
        <v>7.9600000000000004E-2</v>
      </c>
      <c r="T483" s="18">
        <v>0.63743551952837096</v>
      </c>
      <c r="U483" s="1">
        <v>0</v>
      </c>
      <c r="V483" s="1">
        <f t="shared" si="15"/>
        <v>0</v>
      </c>
      <c r="W483" s="25"/>
      <c r="X483">
        <v>3.9399999999999998E-2</v>
      </c>
      <c r="Y483" s="1">
        <v>3.1899999999999998E-2</v>
      </c>
      <c r="Z483" s="1">
        <v>3.1399999999999997E-2</v>
      </c>
      <c r="AA483" s="1">
        <v>4710</v>
      </c>
      <c r="AB483" s="1">
        <v>23</v>
      </c>
      <c r="AC483" s="29">
        <v>793</v>
      </c>
    </row>
    <row r="484" spans="1:29" ht="25.5">
      <c r="A484" s="12">
        <v>25</v>
      </c>
      <c r="B484" s="12" t="s">
        <v>519</v>
      </c>
      <c r="C484" s="12">
        <v>25260</v>
      </c>
      <c r="D484" s="12" t="s">
        <v>545</v>
      </c>
      <c r="E484" s="17">
        <v>0.34501007069231071</v>
      </c>
      <c r="F484" s="17">
        <v>0.65498992930768929</v>
      </c>
      <c r="G484" s="13">
        <v>0.97194073391678182</v>
      </c>
      <c r="H484" s="13">
        <v>0.52670927288074276</v>
      </c>
      <c r="I484" s="14">
        <v>10.139428862080198</v>
      </c>
      <c r="J484" s="16">
        <v>0.98299999999999998</v>
      </c>
      <c r="K484" s="16">
        <v>0.98080000000000001</v>
      </c>
      <c r="L484" s="13">
        <v>0.45960000000000001</v>
      </c>
      <c r="M484" s="13">
        <v>4.3299999999999998E-2</v>
      </c>
      <c r="N484" s="13">
        <v>9.64E-2</v>
      </c>
      <c r="O484" s="13">
        <v>3.6400000000000002E-2</v>
      </c>
      <c r="P484" s="16">
        <v>0.96109999999999995</v>
      </c>
      <c r="Q484" s="16">
        <v>0.8970999999999999</v>
      </c>
      <c r="R484" s="16">
        <v>0.88359999999999994</v>
      </c>
      <c r="S484" s="16">
        <f t="shared" si="14"/>
        <v>0.91393333333333315</v>
      </c>
      <c r="T484" s="18">
        <v>1</v>
      </c>
      <c r="U484" s="1">
        <v>12.07729469</v>
      </c>
      <c r="V484" s="1">
        <f t="shared" si="15"/>
        <v>2.5708774966555445</v>
      </c>
      <c r="W484" s="26"/>
      <c r="X484">
        <v>0.2034</v>
      </c>
      <c r="Y484" s="1">
        <v>2.6069</v>
      </c>
      <c r="Z484" s="1">
        <v>1.2827999999999999</v>
      </c>
      <c r="AA484" s="1">
        <v>26497</v>
      </c>
      <c r="AB484" s="1">
        <v>414</v>
      </c>
      <c r="AC484" s="29">
        <v>5284</v>
      </c>
    </row>
    <row r="485" spans="1:29" ht="25.5">
      <c r="A485" s="12">
        <v>25</v>
      </c>
      <c r="B485" s="12" t="s">
        <v>519</v>
      </c>
      <c r="C485" s="12">
        <v>25269</v>
      </c>
      <c r="D485" s="12" t="s">
        <v>546</v>
      </c>
      <c r="E485" s="17">
        <v>0.28435982102265928</v>
      </c>
      <c r="F485" s="17">
        <v>0.71562821525135789</v>
      </c>
      <c r="G485" s="13">
        <v>0.9723485685701988</v>
      </c>
      <c r="H485" s="13">
        <v>0.39735359513181873</v>
      </c>
      <c r="I485" s="14">
        <v>12.026784483339325</v>
      </c>
      <c r="J485" s="16">
        <v>0.77869999999999995</v>
      </c>
      <c r="K485" s="16">
        <v>0.77700000000000002</v>
      </c>
      <c r="L485" s="13">
        <v>0.47360000000000002</v>
      </c>
      <c r="M485" s="13">
        <v>2.8299999999999999E-2</v>
      </c>
      <c r="N485" s="13">
        <v>8.9099999999999999E-2</v>
      </c>
      <c r="O485" s="13">
        <v>8.8800000000000004E-2</v>
      </c>
      <c r="P485" s="16">
        <v>0.90229999999999999</v>
      </c>
      <c r="Q485" s="16">
        <v>0.85549999999999993</v>
      </c>
      <c r="R485" s="16">
        <v>0.90060000000000007</v>
      </c>
      <c r="S485" s="16">
        <f t="shared" si="14"/>
        <v>0.88613333333333344</v>
      </c>
      <c r="T485" s="18">
        <v>0.93505871075964508</v>
      </c>
      <c r="U485" s="1">
        <v>8.2987551869999994</v>
      </c>
      <c r="V485" s="1">
        <f t="shared" si="15"/>
        <v>2.2298805403401691</v>
      </c>
      <c r="W485" s="25"/>
      <c r="X485">
        <v>0.27479999999999999</v>
      </c>
      <c r="Y485" s="1">
        <v>4.8217999999999996</v>
      </c>
      <c r="Z485" s="1">
        <v>1.7616000000000001</v>
      </c>
      <c r="AA485" s="1">
        <v>161874</v>
      </c>
      <c r="AB485" s="1">
        <v>1446</v>
      </c>
      <c r="AC485" s="29">
        <v>28717</v>
      </c>
    </row>
    <row r="486" spans="1:29" ht="25.5">
      <c r="A486" s="12">
        <v>25</v>
      </c>
      <c r="B486" s="12" t="s">
        <v>519</v>
      </c>
      <c r="C486" s="12">
        <v>25279</v>
      </c>
      <c r="D486" s="12" t="s">
        <v>547</v>
      </c>
      <c r="E486" s="17">
        <v>0.75879696685694809</v>
      </c>
      <c r="F486" s="17">
        <v>0.24120303314305189</v>
      </c>
      <c r="G486" s="13">
        <v>0.81382609901539316</v>
      </c>
      <c r="H486" s="13">
        <v>3.1447740112994351</v>
      </c>
      <c r="I486" s="14">
        <v>9.3705867211182792</v>
      </c>
      <c r="J486" s="16">
        <v>0.79159999999999997</v>
      </c>
      <c r="K486" s="16">
        <v>0.79159999999999997</v>
      </c>
      <c r="L486" s="13">
        <v>0.47299999999999998</v>
      </c>
      <c r="M486" s="13">
        <v>3.9300000000000002E-2</v>
      </c>
      <c r="N486" s="13">
        <v>7.0900000000000005E-2</v>
      </c>
      <c r="O486" s="13">
        <v>8.6999999999999994E-3</v>
      </c>
      <c r="P486" s="16">
        <v>0.79480000000000006</v>
      </c>
      <c r="Q486" s="16">
        <v>0.60799999999999998</v>
      </c>
      <c r="R486" s="16">
        <v>0.6038</v>
      </c>
      <c r="S486" s="16">
        <f t="shared" si="14"/>
        <v>0.66886666666666672</v>
      </c>
      <c r="T486" s="18">
        <v>0.79092284417549097</v>
      </c>
      <c r="U486" s="1">
        <v>22.222222219999999</v>
      </c>
      <c r="V486" s="1">
        <f t="shared" si="15"/>
        <v>3.1451096745328977</v>
      </c>
      <c r="W486" s="26"/>
      <c r="X486">
        <v>4.9500000000000002E-2</v>
      </c>
      <c r="Y486" s="1">
        <v>5.57E-2</v>
      </c>
      <c r="Z486" s="1">
        <v>5.4199999999999998E-2</v>
      </c>
      <c r="AA486" s="1">
        <v>12340</v>
      </c>
      <c r="AB486" s="1">
        <v>90</v>
      </c>
      <c r="AC486" s="29">
        <v>2145</v>
      </c>
    </row>
    <row r="487" spans="1:29" ht="25.5">
      <c r="A487" s="12">
        <v>25</v>
      </c>
      <c r="B487" s="12" t="s">
        <v>519</v>
      </c>
      <c r="C487" s="12">
        <v>25281</v>
      </c>
      <c r="D487" s="12" t="s">
        <v>548</v>
      </c>
      <c r="E487" s="17">
        <v>0.90397350993377479</v>
      </c>
      <c r="F487" s="17">
        <v>9.602649006622517E-2</v>
      </c>
      <c r="G487" s="13">
        <v>0.83668708078156895</v>
      </c>
      <c r="H487" s="13">
        <v>9.3967391304347831</v>
      </c>
      <c r="I487" s="14">
        <v>8.6550402581083627</v>
      </c>
      <c r="J487" s="16">
        <v>0.81720000000000004</v>
      </c>
      <c r="K487" s="16">
        <v>0.81720000000000004</v>
      </c>
      <c r="L487" s="13">
        <v>0.55349999999999999</v>
      </c>
      <c r="M487" s="13">
        <v>2.12E-2</v>
      </c>
      <c r="N487" s="13">
        <v>5.2999999999999999E-2</v>
      </c>
      <c r="O487" s="13">
        <v>4.0599999999999997E-2</v>
      </c>
      <c r="P487" s="16">
        <v>0.48330000000000001</v>
      </c>
      <c r="Q487" s="16">
        <v>0.21760000000000002</v>
      </c>
      <c r="R487" s="16">
        <v>0.26179999999999998</v>
      </c>
      <c r="S487" s="16">
        <f t="shared" si="14"/>
        <v>0.32090000000000002</v>
      </c>
      <c r="T487" s="18">
        <v>0.93022113022113007</v>
      </c>
      <c r="U487" s="1">
        <v>0</v>
      </c>
      <c r="V487" s="1">
        <f t="shared" si="15"/>
        <v>0</v>
      </c>
      <c r="W487" s="25"/>
      <c r="X487">
        <v>2.6599999999999999E-2</v>
      </c>
      <c r="Y487" s="1">
        <v>0.17910000000000001</v>
      </c>
      <c r="Z487" s="1">
        <v>0.16470000000000001</v>
      </c>
      <c r="AA487" s="1">
        <v>5631</v>
      </c>
      <c r="AB487" s="1">
        <v>72</v>
      </c>
      <c r="AC487" s="29">
        <v>1107</v>
      </c>
    </row>
    <row r="488" spans="1:29" ht="25.5">
      <c r="A488" s="12">
        <v>25</v>
      </c>
      <c r="B488" s="12" t="s">
        <v>519</v>
      </c>
      <c r="C488" s="12">
        <v>25286</v>
      </c>
      <c r="D488" s="12" t="s">
        <v>549</v>
      </c>
      <c r="E488" s="17">
        <v>0.23702415421387069</v>
      </c>
      <c r="F488" s="17">
        <v>0.76297584578612931</v>
      </c>
      <c r="G488" s="13">
        <v>0.89328831682824583</v>
      </c>
      <c r="H488" s="13">
        <v>0.31065352485737574</v>
      </c>
      <c r="I488" s="14">
        <v>11.541736414824339</v>
      </c>
      <c r="J488" s="16">
        <v>0.91720000000000002</v>
      </c>
      <c r="K488" s="16">
        <v>0.91459999999999997</v>
      </c>
      <c r="L488" s="13">
        <v>0.67320000000000002</v>
      </c>
      <c r="M488" s="13">
        <v>1.78E-2</v>
      </c>
      <c r="N488" s="13">
        <v>7.1900000000000006E-2</v>
      </c>
      <c r="O488" s="13">
        <v>0.1007</v>
      </c>
      <c r="P488" s="16">
        <v>0.98450000000000004</v>
      </c>
      <c r="Q488" s="16">
        <v>0.98439999999999994</v>
      </c>
      <c r="R488" s="16">
        <v>0.98450000000000004</v>
      </c>
      <c r="S488" s="16">
        <f t="shared" si="14"/>
        <v>0.98446666666666671</v>
      </c>
      <c r="T488" s="18">
        <v>1</v>
      </c>
      <c r="U488" s="1">
        <v>9.7205346289999994</v>
      </c>
      <c r="V488" s="1">
        <f t="shared" si="15"/>
        <v>2.3721610265072925</v>
      </c>
      <c r="W488" s="26"/>
      <c r="X488" s="28">
        <v>11179</v>
      </c>
      <c r="Y488" s="1">
        <v>14.3096</v>
      </c>
      <c r="Z488" s="1">
        <v>2.7284999999999999</v>
      </c>
      <c r="AA488" s="1">
        <v>118457</v>
      </c>
      <c r="AB488" s="1">
        <v>823</v>
      </c>
      <c r="AC488" s="29">
        <v>21095</v>
      </c>
    </row>
    <row r="489" spans="1:29" ht="25.5">
      <c r="A489" s="12">
        <v>25</v>
      </c>
      <c r="B489" s="12" t="s">
        <v>519</v>
      </c>
      <c r="C489" s="12">
        <v>25288</v>
      </c>
      <c r="D489" s="12" t="s">
        <v>550</v>
      </c>
      <c r="E489" s="17">
        <v>0.71175693527080586</v>
      </c>
      <c r="F489" s="17">
        <v>0.2882430647291942</v>
      </c>
      <c r="G489" s="13">
        <v>0.64767282683093774</v>
      </c>
      <c r="H489" s="13">
        <v>2.4670329670329672</v>
      </c>
      <c r="I489" s="14">
        <v>8.2390653317692681</v>
      </c>
      <c r="J489" s="16">
        <v>1.5589999999999999</v>
      </c>
      <c r="K489" s="16">
        <v>1.5589999999999999</v>
      </c>
      <c r="L489" s="13">
        <v>1.0745</v>
      </c>
      <c r="M489" s="13">
        <v>1.2200000000000001E-2</v>
      </c>
      <c r="N489" s="13">
        <v>0.10730000000000001</v>
      </c>
      <c r="O489" s="13">
        <v>8.1699999999999995E-2</v>
      </c>
      <c r="P489" s="16">
        <v>0.96420000000000006</v>
      </c>
      <c r="Q489" s="16">
        <v>0.15570000000000001</v>
      </c>
      <c r="R489" s="16">
        <v>0.18329999999999999</v>
      </c>
      <c r="S489" s="16">
        <f t="shared" si="14"/>
        <v>0.43440000000000006</v>
      </c>
      <c r="T489" s="18">
        <v>1</v>
      </c>
      <c r="U489" s="1">
        <v>0</v>
      </c>
      <c r="V489" s="1">
        <f t="shared" si="15"/>
        <v>0</v>
      </c>
      <c r="W489" s="25"/>
      <c r="X489">
        <v>0.31540000000000001</v>
      </c>
      <c r="Y489" s="1">
        <v>0.72670000000000001</v>
      </c>
      <c r="Z489" s="1">
        <v>0.54620000000000002</v>
      </c>
      <c r="AA489" s="1">
        <v>4961</v>
      </c>
      <c r="AB489" s="1">
        <v>29</v>
      </c>
      <c r="AC489" s="29">
        <v>837</v>
      </c>
    </row>
    <row r="490" spans="1:29" ht="25.5">
      <c r="A490" s="12">
        <v>25</v>
      </c>
      <c r="B490" s="12" t="s">
        <v>519</v>
      </c>
      <c r="C490" s="12">
        <v>25290</v>
      </c>
      <c r="D490" s="12" t="s">
        <v>551</v>
      </c>
      <c r="E490" s="17">
        <v>0.4561512542575295</v>
      </c>
      <c r="F490" s="17">
        <v>0.54383046654602396</v>
      </c>
      <c r="G490" s="13">
        <v>0.96286887650337338</v>
      </c>
      <c r="H490" s="13">
        <v>0.8387653352753347</v>
      </c>
      <c r="I490" s="14">
        <v>12.008365332687086</v>
      </c>
      <c r="J490" s="16">
        <v>0.90810000000000002</v>
      </c>
      <c r="K490" s="16">
        <v>0.90790000000000004</v>
      </c>
      <c r="L490" s="13">
        <v>0.56730000000000003</v>
      </c>
      <c r="M490" s="13">
        <v>3.7699999999999997E-2</v>
      </c>
      <c r="N490" s="13">
        <v>7.7200000000000005E-2</v>
      </c>
      <c r="O490" s="13">
        <v>6.6199999999999995E-2</v>
      </c>
      <c r="P490" s="16">
        <v>0.7399</v>
      </c>
      <c r="Q490" s="16">
        <v>0.66500000000000004</v>
      </c>
      <c r="R490" s="16">
        <v>0.65110000000000001</v>
      </c>
      <c r="S490" s="16">
        <f t="shared" si="14"/>
        <v>0.68533333333333335</v>
      </c>
      <c r="T490" s="18">
        <v>0.90922911822571906</v>
      </c>
      <c r="U490" s="1">
        <v>12.22707424</v>
      </c>
      <c r="V490" s="1">
        <f t="shared" si="15"/>
        <v>2.5822658077899341</v>
      </c>
      <c r="W490" s="26"/>
      <c r="X490">
        <v>0.16930000000000001</v>
      </c>
      <c r="Y490" s="1">
        <v>5.202</v>
      </c>
      <c r="Z490" s="1">
        <v>1.8249</v>
      </c>
      <c r="AA490" s="1">
        <v>156943</v>
      </c>
      <c r="AB490" s="1">
        <v>1145</v>
      </c>
      <c r="AC490" s="29">
        <v>24511</v>
      </c>
    </row>
    <row r="491" spans="1:29" ht="25.5">
      <c r="A491" s="12">
        <v>25</v>
      </c>
      <c r="B491" s="12" t="s">
        <v>519</v>
      </c>
      <c r="C491" s="12">
        <v>25293</v>
      </c>
      <c r="D491" s="12" t="s">
        <v>552</v>
      </c>
      <c r="E491" s="17">
        <v>0.85643686681492459</v>
      </c>
      <c r="F491" s="17">
        <v>0.14356313318507535</v>
      </c>
      <c r="G491" s="13">
        <v>0.78781389916293554</v>
      </c>
      <c r="H491" s="13">
        <v>5.9553264604810998</v>
      </c>
      <c r="I491" s="14">
        <v>8.3059782109673019</v>
      </c>
      <c r="J491" s="16">
        <v>0.78669999999999995</v>
      </c>
      <c r="K491" s="16">
        <v>0.78669999999999995</v>
      </c>
      <c r="L491" s="13">
        <v>0.52110000000000001</v>
      </c>
      <c r="M491" s="13">
        <v>1.32E-2</v>
      </c>
      <c r="N491" s="13">
        <v>0.06</v>
      </c>
      <c r="O491" s="13">
        <v>3.5099999999999999E-2</v>
      </c>
      <c r="P491" s="16">
        <v>0.29320000000000002</v>
      </c>
      <c r="Q491" s="16">
        <v>0.29320000000000002</v>
      </c>
      <c r="R491" s="16">
        <v>0.29320000000000002</v>
      </c>
      <c r="S491" s="16">
        <f t="shared" si="14"/>
        <v>0.29320000000000002</v>
      </c>
      <c r="T491" s="18">
        <v>0.30289017341040397</v>
      </c>
      <c r="U491" s="1">
        <v>0</v>
      </c>
      <c r="V491" s="1">
        <f t="shared" si="15"/>
        <v>0</v>
      </c>
      <c r="W491" s="25"/>
      <c r="X491">
        <v>0.27879999999999999</v>
      </c>
      <c r="Y491" s="1">
        <v>4.5199999999999997E-2</v>
      </c>
      <c r="Z491" s="1">
        <v>4.4200000000000003E-2</v>
      </c>
      <c r="AA491" s="1">
        <v>4548</v>
      </c>
      <c r="AB491" s="1">
        <v>22</v>
      </c>
      <c r="AC491" s="29">
        <v>731</v>
      </c>
    </row>
    <row r="492" spans="1:29" ht="25.5">
      <c r="A492" s="12">
        <v>25</v>
      </c>
      <c r="B492" s="12" t="s">
        <v>519</v>
      </c>
      <c r="C492" s="12">
        <v>25295</v>
      </c>
      <c r="D492" s="12" t="s">
        <v>553</v>
      </c>
      <c r="E492" s="17">
        <v>0.3017051705170517</v>
      </c>
      <c r="F492" s="17">
        <v>0.6982948294829483</v>
      </c>
      <c r="G492" s="13">
        <v>0.52571208251000046</v>
      </c>
      <c r="H492" s="13">
        <v>0.43200315043318455</v>
      </c>
      <c r="I492" s="14">
        <v>9.2973434155977568</v>
      </c>
      <c r="J492" s="16">
        <v>1.0201</v>
      </c>
      <c r="K492" s="16">
        <v>1.0155000000000001</v>
      </c>
      <c r="L492" s="13">
        <v>0.4849</v>
      </c>
      <c r="M492" s="13">
        <v>4.48E-2</v>
      </c>
      <c r="N492" s="13">
        <v>0.13189999999999999</v>
      </c>
      <c r="O492" s="13">
        <v>0.13980000000000001</v>
      </c>
      <c r="P492" s="16">
        <v>1</v>
      </c>
      <c r="Q492" s="16">
        <v>0.66420000000000001</v>
      </c>
      <c r="R492" s="16">
        <v>0.72340000000000004</v>
      </c>
      <c r="S492" s="16">
        <f t="shared" si="14"/>
        <v>0.79586666666666661</v>
      </c>
      <c r="T492" s="18">
        <v>1</v>
      </c>
      <c r="U492" s="1">
        <v>4.1493775929999996</v>
      </c>
      <c r="V492" s="1">
        <f t="shared" si="15"/>
        <v>1.6388758516438473</v>
      </c>
      <c r="W492" s="26"/>
      <c r="X492">
        <v>0.37759999999999999</v>
      </c>
      <c r="Y492" s="1">
        <v>4.7736000000000001</v>
      </c>
      <c r="Z492" s="1">
        <v>1.7533000000000001</v>
      </c>
      <c r="AA492" s="1">
        <v>20800</v>
      </c>
      <c r="AB492" s="1">
        <v>241</v>
      </c>
      <c r="AC492" s="29">
        <v>3972</v>
      </c>
    </row>
    <row r="493" spans="1:29" ht="25.5">
      <c r="A493" s="12">
        <v>25</v>
      </c>
      <c r="B493" s="12" t="s">
        <v>519</v>
      </c>
      <c r="C493" s="12">
        <v>25297</v>
      </c>
      <c r="D493" s="12" t="s">
        <v>554</v>
      </c>
      <c r="E493" s="17">
        <v>0.74593079659372641</v>
      </c>
      <c r="F493" s="17">
        <v>0.25406920340627359</v>
      </c>
      <c r="G493" s="13">
        <v>0.93792336467495707</v>
      </c>
      <c r="H493" s="13">
        <v>2.9346904156064459</v>
      </c>
      <c r="I493" s="14">
        <v>9.1354012853116888</v>
      </c>
      <c r="J493" s="16">
        <v>0.85260000000000002</v>
      </c>
      <c r="K493" s="16">
        <v>0.85260000000000002</v>
      </c>
      <c r="L493" s="13">
        <v>0.63080000000000003</v>
      </c>
      <c r="M493" s="13">
        <v>2.5700000000000001E-2</v>
      </c>
      <c r="N493" s="13">
        <v>6.4000000000000001E-2</v>
      </c>
      <c r="O493" s="13">
        <v>7.2400000000000006E-2</v>
      </c>
      <c r="P493" s="16">
        <v>0.1158</v>
      </c>
      <c r="Q493" s="16">
        <v>0.1158</v>
      </c>
      <c r="R493" s="16">
        <v>0.1158</v>
      </c>
      <c r="S493" s="16">
        <f t="shared" si="14"/>
        <v>0.1158</v>
      </c>
      <c r="T493" s="18">
        <v>0.71298573536645304</v>
      </c>
      <c r="U493" s="1">
        <v>0</v>
      </c>
      <c r="V493" s="1">
        <f t="shared" si="15"/>
        <v>0</v>
      </c>
      <c r="W493" s="25"/>
      <c r="X493">
        <v>0.126</v>
      </c>
      <c r="Y493" s="1">
        <v>5.8200000000000002E-2</v>
      </c>
      <c r="Z493" s="1">
        <v>5.6599999999999998E-2</v>
      </c>
      <c r="AA493" s="1">
        <v>8619</v>
      </c>
      <c r="AB493" s="1">
        <v>59</v>
      </c>
      <c r="AC493" s="29">
        <v>1347</v>
      </c>
    </row>
    <row r="494" spans="1:29" ht="25.5">
      <c r="A494" s="12">
        <v>25</v>
      </c>
      <c r="B494" s="12" t="s">
        <v>519</v>
      </c>
      <c r="C494" s="12">
        <v>25299</v>
      </c>
      <c r="D494" s="12" t="s">
        <v>555</v>
      </c>
      <c r="E494" s="17">
        <v>0.89315068493150684</v>
      </c>
      <c r="F494" s="17">
        <v>0.10684931506849316</v>
      </c>
      <c r="G494" s="13">
        <v>0.79585718179340414</v>
      </c>
      <c r="H494" s="13">
        <v>8.3322683706070286</v>
      </c>
      <c r="I494" s="14">
        <v>7.9796813023877409</v>
      </c>
      <c r="J494" s="16">
        <v>0.67910000000000004</v>
      </c>
      <c r="K494" s="16">
        <v>0.67910000000000004</v>
      </c>
      <c r="L494" s="13">
        <v>0.52780000000000005</v>
      </c>
      <c r="M494" s="13">
        <v>8.8000000000000005E-3</v>
      </c>
      <c r="N494" s="13">
        <v>4.6199999999999998E-2</v>
      </c>
      <c r="O494" s="13">
        <v>6.59E-2</v>
      </c>
      <c r="P494" s="16">
        <v>7.7600000000000002E-2</v>
      </c>
      <c r="Q494" s="16">
        <v>7.7600000000000002E-2</v>
      </c>
      <c r="R494" s="16">
        <v>7.7600000000000002E-2</v>
      </c>
      <c r="S494" s="16">
        <f t="shared" si="14"/>
        <v>7.7600000000000002E-2</v>
      </c>
      <c r="T494" s="18">
        <v>0.69151809832522904</v>
      </c>
      <c r="U494" s="1">
        <v>0</v>
      </c>
      <c r="V494" s="1">
        <f t="shared" si="15"/>
        <v>0</v>
      </c>
      <c r="W494" s="26"/>
      <c r="X494">
        <v>8.3699999999999997E-2</v>
      </c>
      <c r="Y494" s="1">
        <v>0.1115</v>
      </c>
      <c r="Z494" s="1">
        <v>0.1057</v>
      </c>
      <c r="AA494" s="1">
        <v>3193</v>
      </c>
      <c r="AB494" s="1">
        <v>13</v>
      </c>
      <c r="AC494" s="29">
        <v>557</v>
      </c>
    </row>
    <row r="495" spans="1:29" ht="25.5">
      <c r="A495" s="12">
        <v>25</v>
      </c>
      <c r="B495" s="12" t="s">
        <v>519</v>
      </c>
      <c r="C495" s="12">
        <v>25307</v>
      </c>
      <c r="D495" s="12" t="s">
        <v>556</v>
      </c>
      <c r="E495" s="17">
        <v>0.43744442296539726</v>
      </c>
      <c r="F495" s="17">
        <v>0.56254913332044587</v>
      </c>
      <c r="G495" s="13">
        <v>1</v>
      </c>
      <c r="H495" s="13">
        <v>0.7776021442562111</v>
      </c>
      <c r="I495" s="14">
        <v>11.952411895359067</v>
      </c>
      <c r="J495" s="16">
        <v>0.93640000000000001</v>
      </c>
      <c r="K495" s="16">
        <v>0.93489999999999995</v>
      </c>
      <c r="L495" s="13">
        <v>0.62780000000000002</v>
      </c>
      <c r="M495" s="13">
        <v>4.0500000000000001E-2</v>
      </c>
      <c r="N495" s="13">
        <v>9.0700000000000003E-2</v>
      </c>
      <c r="O495" s="13">
        <v>5.4699999999999999E-2</v>
      </c>
      <c r="P495" s="16">
        <v>0.99950000000000006</v>
      </c>
      <c r="Q495" s="16">
        <v>0.92900000000000005</v>
      </c>
      <c r="R495" s="16">
        <v>0.96310000000000007</v>
      </c>
      <c r="S495" s="16">
        <f t="shared" si="14"/>
        <v>0.96386666666666676</v>
      </c>
      <c r="T495" s="18">
        <v>1</v>
      </c>
      <c r="U495" s="1">
        <v>9.2879256970000004</v>
      </c>
      <c r="V495" s="1">
        <f t="shared" si="15"/>
        <v>2.3309709451713601</v>
      </c>
      <c r="W495" s="25"/>
      <c r="X495">
        <v>0.23269999999999999</v>
      </c>
      <c r="Y495" s="1">
        <v>5.8391999999999999</v>
      </c>
      <c r="Z495" s="1">
        <v>1.9227000000000001</v>
      </c>
      <c r="AA495" s="1">
        <v>103831</v>
      </c>
      <c r="AB495" s="1">
        <v>969</v>
      </c>
      <c r="AC495" s="29">
        <v>15969</v>
      </c>
    </row>
    <row r="496" spans="1:29" ht="25.5">
      <c r="A496" s="12">
        <v>25</v>
      </c>
      <c r="B496" s="12" t="s">
        <v>519</v>
      </c>
      <c r="C496" s="12">
        <v>25312</v>
      </c>
      <c r="D496" s="12" t="s">
        <v>64</v>
      </c>
      <c r="E496" s="17">
        <v>0.84694313809320221</v>
      </c>
      <c r="F496" s="17">
        <v>0.15305686190679776</v>
      </c>
      <c r="G496" s="13">
        <v>0.55178108044350083</v>
      </c>
      <c r="H496" s="13">
        <v>5.5258019525801956</v>
      </c>
      <c r="I496" s="14">
        <v>8.450839690866216</v>
      </c>
      <c r="J496" s="16">
        <v>0.84970000000000001</v>
      </c>
      <c r="K496" s="16">
        <v>0.84970000000000001</v>
      </c>
      <c r="L496" s="13">
        <v>0.37969999999999998</v>
      </c>
      <c r="M496" s="13">
        <v>3.1600000000000003E-2</v>
      </c>
      <c r="N496" s="13">
        <v>0.1062</v>
      </c>
      <c r="O496" s="13">
        <v>0</v>
      </c>
      <c r="P496" s="16">
        <v>0.39100000000000001</v>
      </c>
      <c r="Q496" s="16">
        <v>0.18190000000000001</v>
      </c>
      <c r="R496" s="16">
        <v>0.3831</v>
      </c>
      <c r="S496" s="16">
        <f t="shared" si="14"/>
        <v>0.31866666666666665</v>
      </c>
      <c r="T496" s="18">
        <v>1</v>
      </c>
      <c r="U496" s="1">
        <v>40.816326529999998</v>
      </c>
      <c r="V496" s="1">
        <f t="shared" si="15"/>
        <v>3.7332868501136316</v>
      </c>
      <c r="W496" s="26"/>
      <c r="X496">
        <v>0.24879999999999999</v>
      </c>
      <c r="Y496" s="1">
        <v>1.9024000000000001</v>
      </c>
      <c r="Z496" s="1">
        <v>1.0654999999999999</v>
      </c>
      <c r="AA496" s="1">
        <v>7614</v>
      </c>
      <c r="AB496" s="1">
        <v>49</v>
      </c>
      <c r="AC496" s="29">
        <v>1516</v>
      </c>
    </row>
    <row r="497" spans="1:29" ht="25.5">
      <c r="A497" s="12">
        <v>25</v>
      </c>
      <c r="B497" s="12" t="s">
        <v>519</v>
      </c>
      <c r="C497" s="12">
        <v>25317</v>
      </c>
      <c r="D497" s="12" t="s">
        <v>557</v>
      </c>
      <c r="E497" s="17">
        <v>0.42167636285283344</v>
      </c>
      <c r="F497" s="17">
        <v>0.57832363714716661</v>
      </c>
      <c r="G497" s="13">
        <v>0.86920963915594951</v>
      </c>
      <c r="H497" s="13">
        <v>0.72904507636905502</v>
      </c>
      <c r="I497" s="14">
        <v>9.5413692489313302</v>
      </c>
      <c r="J497" s="16">
        <v>0.80730000000000002</v>
      </c>
      <c r="K497" s="16">
        <v>0.80700000000000005</v>
      </c>
      <c r="L497" s="13">
        <v>0.39960000000000001</v>
      </c>
      <c r="M497" s="13">
        <v>1.6199999999999999E-2</v>
      </c>
      <c r="N497" s="13">
        <v>7.9699999999999993E-2</v>
      </c>
      <c r="O497" s="13">
        <v>1.1000000000000001E-3</v>
      </c>
      <c r="P497" s="16">
        <v>0.89569999999999994</v>
      </c>
      <c r="Q497" s="16">
        <v>0.36950000000000005</v>
      </c>
      <c r="R497" s="16">
        <v>0.36979999999999996</v>
      </c>
      <c r="S497" s="16">
        <f t="shared" si="14"/>
        <v>0.54500000000000004</v>
      </c>
      <c r="T497" s="18">
        <v>0.90427302996670311</v>
      </c>
      <c r="U497" s="1">
        <v>24.390243900000002</v>
      </c>
      <c r="V497" s="1">
        <f t="shared" si="15"/>
        <v>3.2343650018145995</v>
      </c>
      <c r="W497" s="25"/>
      <c r="X497">
        <v>0.25590000000000002</v>
      </c>
      <c r="Y497" s="1">
        <v>1.4125000000000001</v>
      </c>
      <c r="Z497" s="1">
        <v>0.88070000000000004</v>
      </c>
      <c r="AA497" s="1">
        <v>14716</v>
      </c>
      <c r="AB497" s="1">
        <v>123</v>
      </c>
      <c r="AC497" s="29">
        <v>3049</v>
      </c>
    </row>
    <row r="498" spans="1:29" ht="25.5">
      <c r="A498" s="12">
        <v>25</v>
      </c>
      <c r="B498" s="12" t="s">
        <v>519</v>
      </c>
      <c r="C498" s="12">
        <v>25320</v>
      </c>
      <c r="D498" s="12" t="s">
        <v>558</v>
      </c>
      <c r="E498" s="17">
        <v>0.7350840425986912</v>
      </c>
      <c r="F498" s="17">
        <v>0.26491595740130874</v>
      </c>
      <c r="G498" s="13">
        <v>0.6309128686688793</v>
      </c>
      <c r="H498" s="13">
        <v>2.7743341404358355</v>
      </c>
      <c r="I498" s="14">
        <v>10.059721774566764</v>
      </c>
      <c r="J498" s="16">
        <v>0.81130000000000002</v>
      </c>
      <c r="K498" s="16">
        <v>0.80989999999999995</v>
      </c>
      <c r="L498" s="13">
        <v>0.53800000000000003</v>
      </c>
      <c r="M498" s="13">
        <v>2.8500000000000001E-2</v>
      </c>
      <c r="N498" s="13">
        <v>8.1600000000000006E-2</v>
      </c>
      <c r="O498" s="13">
        <v>9.2799999999999994E-2</v>
      </c>
      <c r="P498" s="16">
        <v>0.46539999999999998</v>
      </c>
      <c r="Q498" s="16">
        <v>0.46310000000000001</v>
      </c>
      <c r="R498" s="16">
        <v>0.46389999999999998</v>
      </c>
      <c r="S498" s="16">
        <f t="shared" si="14"/>
        <v>0.46413333333333329</v>
      </c>
      <c r="T498" s="18">
        <v>0.64587332053742796</v>
      </c>
      <c r="U498" s="1">
        <v>24.844720500000001</v>
      </c>
      <c r="V498" s="1">
        <f t="shared" si="15"/>
        <v>3.252106344118642</v>
      </c>
      <c r="W498" s="26"/>
      <c r="X498">
        <v>0.1072</v>
      </c>
      <c r="Y498" s="1">
        <v>0.2291</v>
      </c>
      <c r="Z498" s="1">
        <v>0.20630000000000001</v>
      </c>
      <c r="AA498" s="1">
        <v>30787</v>
      </c>
      <c r="AB498" s="1">
        <v>161</v>
      </c>
      <c r="AC498" s="29">
        <v>4445</v>
      </c>
    </row>
    <row r="499" spans="1:29" ht="25.5">
      <c r="A499" s="12">
        <v>25</v>
      </c>
      <c r="B499" s="12" t="s">
        <v>519</v>
      </c>
      <c r="C499" s="12">
        <v>25322</v>
      </c>
      <c r="D499" s="12" t="s">
        <v>559</v>
      </c>
      <c r="E499" s="17">
        <v>0.36208795864757226</v>
      </c>
      <c r="F499" s="17">
        <v>0.63791204135242774</v>
      </c>
      <c r="G499" s="13">
        <v>0.635521568205073</v>
      </c>
      <c r="H499" s="13">
        <v>0.56753884978084734</v>
      </c>
      <c r="I499" s="14">
        <v>9.3760242876171134</v>
      </c>
      <c r="J499" s="16">
        <v>0.89580000000000004</v>
      </c>
      <c r="K499" s="16">
        <v>0.89429999999999998</v>
      </c>
      <c r="L499" s="13">
        <v>0.52170000000000005</v>
      </c>
      <c r="M499" s="13">
        <v>3.1199999999999999E-2</v>
      </c>
      <c r="N499" s="13">
        <v>8.5500000000000007E-2</v>
      </c>
      <c r="O499" s="13">
        <v>7.2300000000000003E-2</v>
      </c>
      <c r="P499" s="16">
        <v>0.80379999999999996</v>
      </c>
      <c r="Q499" s="16">
        <v>0.40460000000000002</v>
      </c>
      <c r="R499" s="16">
        <v>0.79110000000000003</v>
      </c>
      <c r="S499" s="16">
        <f t="shared" si="14"/>
        <v>0.66649999999999998</v>
      </c>
      <c r="T499" s="18">
        <v>0.7792121077231241</v>
      </c>
      <c r="U499" s="1">
        <v>28.901734099999999</v>
      </c>
      <c r="V499" s="1">
        <f t="shared" si="15"/>
        <v>3.3979164753704181</v>
      </c>
      <c r="W499" s="25"/>
      <c r="X499">
        <v>0.1583</v>
      </c>
      <c r="Y499" s="1">
        <v>0.50090000000000001</v>
      </c>
      <c r="Z499" s="1">
        <v>0.40600000000000003</v>
      </c>
      <c r="AA499" s="1">
        <v>17529</v>
      </c>
      <c r="AB499" s="1">
        <v>173</v>
      </c>
      <c r="AC499" s="29">
        <v>3123</v>
      </c>
    </row>
    <row r="500" spans="1:29" ht="25.5">
      <c r="A500" s="12">
        <v>25</v>
      </c>
      <c r="B500" s="12" t="s">
        <v>519</v>
      </c>
      <c r="C500" s="12">
        <v>25324</v>
      </c>
      <c r="D500" s="12" t="s">
        <v>560</v>
      </c>
      <c r="E500" s="17">
        <v>0.84085903083700442</v>
      </c>
      <c r="F500" s="17">
        <v>0.15914096916299558</v>
      </c>
      <c r="G500" s="13">
        <v>0.52790697674418607</v>
      </c>
      <c r="H500" s="13">
        <v>5.2655172413793103</v>
      </c>
      <c r="I500" s="14">
        <v>7.5049420683961712</v>
      </c>
      <c r="J500" s="16">
        <v>0.72460000000000002</v>
      </c>
      <c r="K500" s="16">
        <v>0.72460000000000002</v>
      </c>
      <c r="L500" s="13">
        <v>0.49440000000000001</v>
      </c>
      <c r="M500" s="13">
        <v>2.01E-2</v>
      </c>
      <c r="N500" s="13">
        <v>9.5200000000000007E-2</v>
      </c>
      <c r="O500" s="13">
        <v>3.0099999999999998E-2</v>
      </c>
      <c r="P500" s="16">
        <v>0.36749999999999999</v>
      </c>
      <c r="Q500" s="16">
        <v>0.26090000000000002</v>
      </c>
      <c r="R500" s="16">
        <v>0.30109999999999998</v>
      </c>
      <c r="S500" s="16">
        <f t="shared" si="14"/>
        <v>0.30983333333333335</v>
      </c>
      <c r="T500" s="18">
        <v>0.52685050798258304</v>
      </c>
      <c r="U500" s="1">
        <v>0</v>
      </c>
      <c r="V500" s="1">
        <f t="shared" si="15"/>
        <v>0</v>
      </c>
      <c r="W500" s="26"/>
      <c r="X500">
        <v>9.69E-2</v>
      </c>
      <c r="Y500" s="1">
        <v>0.1</v>
      </c>
      <c r="Z500" s="1">
        <v>9.5299999999999996E-2</v>
      </c>
      <c r="AA500" s="1">
        <v>3118</v>
      </c>
      <c r="AB500" s="1">
        <v>15</v>
      </c>
      <c r="AC500" s="29">
        <v>480</v>
      </c>
    </row>
    <row r="501" spans="1:29" ht="25.5">
      <c r="A501" s="12">
        <v>25</v>
      </c>
      <c r="B501" s="12" t="s">
        <v>519</v>
      </c>
      <c r="C501" s="12">
        <v>25326</v>
      </c>
      <c r="D501" s="12" t="s">
        <v>561</v>
      </c>
      <c r="E501" s="17">
        <v>0.58628632175761874</v>
      </c>
      <c r="F501" s="17">
        <v>0.41371367824238131</v>
      </c>
      <c r="G501" s="13">
        <v>0.74214332675871142</v>
      </c>
      <c r="H501" s="13">
        <v>1.4165239726027397</v>
      </c>
      <c r="I501" s="14">
        <v>8.6385254765837622</v>
      </c>
      <c r="J501" s="16">
        <v>0.73360000000000003</v>
      </c>
      <c r="K501" s="16">
        <v>0.73360000000000003</v>
      </c>
      <c r="L501" s="13">
        <v>0.52829999999999999</v>
      </c>
      <c r="M501" s="13">
        <v>2.7400000000000001E-2</v>
      </c>
      <c r="N501" s="13">
        <v>6.8000000000000005E-2</v>
      </c>
      <c r="O501" s="13">
        <v>6.9000000000000006E-2</v>
      </c>
      <c r="P501" s="16">
        <v>0.51369999999999993</v>
      </c>
      <c r="Q501" s="16">
        <v>0.17379999999999998</v>
      </c>
      <c r="R501" s="16">
        <v>0.2336</v>
      </c>
      <c r="S501" s="16">
        <f t="shared" si="14"/>
        <v>0.30703333333333332</v>
      </c>
      <c r="T501" s="18">
        <v>1</v>
      </c>
      <c r="U501" s="1">
        <v>61.224489800000001</v>
      </c>
      <c r="V501" s="1">
        <f t="shared" si="15"/>
        <v>4.1307486489432232</v>
      </c>
      <c r="W501" s="25"/>
      <c r="X501">
        <v>0.13370000000000001</v>
      </c>
      <c r="Y501" s="1">
        <v>0.4859</v>
      </c>
      <c r="Z501" s="1">
        <v>0.39600000000000002</v>
      </c>
      <c r="AA501" s="1">
        <v>6391</v>
      </c>
      <c r="AB501" s="1">
        <v>49</v>
      </c>
      <c r="AC501" s="29">
        <v>1105</v>
      </c>
    </row>
    <row r="502" spans="1:29" ht="25.5">
      <c r="A502" s="12">
        <v>25</v>
      </c>
      <c r="B502" s="12" t="s">
        <v>519</v>
      </c>
      <c r="C502" s="12">
        <v>25328</v>
      </c>
      <c r="D502" s="12" t="s">
        <v>562</v>
      </c>
      <c r="E502" s="17">
        <v>0.8663967611336032</v>
      </c>
      <c r="F502" s="17">
        <v>0.13360323886639677</v>
      </c>
      <c r="G502" s="13">
        <v>0.50908750234213973</v>
      </c>
      <c r="H502" s="13">
        <v>6.4670329670329672</v>
      </c>
      <c r="I502" s="14">
        <v>7.9076515947110888</v>
      </c>
      <c r="J502" s="16">
        <v>0.79759999999999998</v>
      </c>
      <c r="K502" s="16">
        <v>0.79759999999999998</v>
      </c>
      <c r="L502" s="13">
        <v>0.51849999999999996</v>
      </c>
      <c r="M502" s="13">
        <v>3.49E-2</v>
      </c>
      <c r="N502" s="13">
        <v>4.6100000000000002E-2</v>
      </c>
      <c r="O502" s="13">
        <v>5.3100000000000001E-2</v>
      </c>
      <c r="P502" s="16">
        <v>0.53060000000000007</v>
      </c>
      <c r="Q502" s="16">
        <v>0.12759999999999999</v>
      </c>
      <c r="R502" s="16">
        <v>0.48920000000000002</v>
      </c>
      <c r="S502" s="16">
        <f t="shared" si="14"/>
        <v>0.38246666666666673</v>
      </c>
      <c r="T502" s="18">
        <v>0.74362540565600299</v>
      </c>
      <c r="U502" s="1">
        <v>0</v>
      </c>
      <c r="V502" s="1">
        <f t="shared" si="15"/>
        <v>0</v>
      </c>
      <c r="W502" s="26"/>
      <c r="X502">
        <v>7.0400000000000004E-2</v>
      </c>
      <c r="Y502" s="1">
        <v>0.32819999999999999</v>
      </c>
      <c r="Z502" s="1">
        <v>0.28389999999999999</v>
      </c>
      <c r="AA502" s="1">
        <v>5062</v>
      </c>
      <c r="AB502" s="1">
        <v>21</v>
      </c>
      <c r="AC502" s="29">
        <v>795</v>
      </c>
    </row>
    <row r="503" spans="1:29" ht="25.5">
      <c r="A503" s="12">
        <v>25</v>
      </c>
      <c r="B503" s="12" t="s">
        <v>519</v>
      </c>
      <c r="C503" s="12">
        <v>25335</v>
      </c>
      <c r="D503" s="12" t="s">
        <v>563</v>
      </c>
      <c r="E503" s="17">
        <v>0.8529411764705882</v>
      </c>
      <c r="F503" s="17">
        <v>0.14705882352941177</v>
      </c>
      <c r="G503" s="13">
        <v>0.59506762132060464</v>
      </c>
      <c r="H503" s="13">
        <v>5.7912254160363084</v>
      </c>
      <c r="I503" s="14">
        <v>8.4093852387819314</v>
      </c>
      <c r="J503" s="16">
        <v>0.76770000000000005</v>
      </c>
      <c r="K503" s="16">
        <v>0.76629999999999998</v>
      </c>
      <c r="L503" s="13">
        <v>0.4143</v>
      </c>
      <c r="M503" s="13">
        <v>2.2700000000000001E-2</v>
      </c>
      <c r="N503" s="13">
        <v>7.0199999999999999E-2</v>
      </c>
      <c r="O503" s="13">
        <v>8.1100000000000005E-2</v>
      </c>
      <c r="P503" s="16">
        <v>0.91689999999999994</v>
      </c>
      <c r="Q503" s="16">
        <v>0.15710000000000002</v>
      </c>
      <c r="R503" s="16">
        <v>0.5897</v>
      </c>
      <c r="S503" s="16">
        <f t="shared" si="14"/>
        <v>0.55456666666666665</v>
      </c>
      <c r="T503" s="18">
        <v>0.79116022099447503</v>
      </c>
      <c r="U503" s="1">
        <v>0</v>
      </c>
      <c r="V503" s="1">
        <f t="shared" si="15"/>
        <v>0</v>
      </c>
      <c r="W503" s="25"/>
      <c r="X503">
        <v>0.40450000000000003</v>
      </c>
      <c r="Y503" s="1">
        <v>0.2848</v>
      </c>
      <c r="Z503" s="1">
        <v>0.25059999999999999</v>
      </c>
      <c r="AA503" s="1">
        <v>6989</v>
      </c>
      <c r="AB503" s="1">
        <v>46</v>
      </c>
      <c r="AC503" s="29">
        <v>1345</v>
      </c>
    </row>
    <row r="504" spans="1:29" ht="25.5">
      <c r="A504" s="12">
        <v>25</v>
      </c>
      <c r="B504" s="12" t="s">
        <v>519</v>
      </c>
      <c r="C504" s="12">
        <v>25339</v>
      </c>
      <c r="D504" s="12" t="s">
        <v>564</v>
      </c>
      <c r="E504" s="17">
        <v>0.92122745966466313</v>
      </c>
      <c r="F504" s="17">
        <v>7.8772540335336913E-2</v>
      </c>
      <c r="G504" s="13">
        <v>0.77914715306877003</v>
      </c>
      <c r="H504" s="13">
        <v>11.648</v>
      </c>
      <c r="I504" s="14">
        <v>8.058960017769417</v>
      </c>
      <c r="J504" s="16">
        <v>0.81679999999999997</v>
      </c>
      <c r="K504" s="16">
        <v>0.81679999999999997</v>
      </c>
      <c r="L504" s="13">
        <v>0.41460000000000002</v>
      </c>
      <c r="M504" s="13">
        <v>7.7999999999999996E-3</v>
      </c>
      <c r="N504" s="13">
        <v>6.83E-2</v>
      </c>
      <c r="O504" s="13">
        <v>8.6999999999999994E-2</v>
      </c>
      <c r="P504" s="16">
        <v>0.86970000000000003</v>
      </c>
      <c r="Q504" s="16">
        <v>0.29820000000000002</v>
      </c>
      <c r="R504" s="16">
        <v>0.30260000000000004</v>
      </c>
      <c r="S504" s="16">
        <f t="shared" si="14"/>
        <v>0.49016666666666664</v>
      </c>
      <c r="T504" s="18">
        <v>0.89311594202898503</v>
      </c>
      <c r="U504" s="1">
        <v>0</v>
      </c>
      <c r="V504" s="1">
        <f t="shared" si="15"/>
        <v>0</v>
      </c>
      <c r="W504" s="26"/>
      <c r="X504">
        <v>6.0299999999999999E-2</v>
      </c>
      <c r="Y504" s="1">
        <v>2.07E-2</v>
      </c>
      <c r="Z504" s="1">
        <v>2.0500000000000001E-2</v>
      </c>
      <c r="AA504" s="1">
        <v>3512</v>
      </c>
      <c r="AB504" s="1">
        <v>29</v>
      </c>
      <c r="AC504" s="29">
        <v>665</v>
      </c>
    </row>
    <row r="505" spans="1:29" ht="25.5">
      <c r="A505" s="12">
        <v>25</v>
      </c>
      <c r="B505" s="12" t="s">
        <v>519</v>
      </c>
      <c r="C505" s="12">
        <v>25368</v>
      </c>
      <c r="D505" s="12" t="s">
        <v>565</v>
      </c>
      <c r="E505" s="17">
        <v>0.89525598872710188</v>
      </c>
      <c r="F505" s="17">
        <v>0.10474401127289808</v>
      </c>
      <c r="G505" s="13">
        <v>0.79648335203890763</v>
      </c>
      <c r="H505" s="13">
        <v>8.5089285714285712</v>
      </c>
      <c r="I505" s="14">
        <v>7.6638772587034705</v>
      </c>
      <c r="J505" s="16">
        <v>0.93030000000000002</v>
      </c>
      <c r="K505" s="16">
        <v>0.93030000000000002</v>
      </c>
      <c r="L505" s="13">
        <v>0.52459999999999996</v>
      </c>
      <c r="M505" s="13">
        <v>3.32E-2</v>
      </c>
      <c r="N505" s="13">
        <v>7.6499999999999999E-2</v>
      </c>
      <c r="O505" s="13">
        <v>2.5999999999999999E-3</v>
      </c>
      <c r="P505" s="16">
        <v>0.25869999999999999</v>
      </c>
      <c r="Q505" s="16">
        <v>0.24840000000000001</v>
      </c>
      <c r="R505" s="16">
        <v>0.24840000000000001</v>
      </c>
      <c r="S505" s="16">
        <f t="shared" si="14"/>
        <v>0.25183333333333335</v>
      </c>
      <c r="T505" s="18">
        <v>0.727541954590325</v>
      </c>
      <c r="U505" s="1">
        <v>0</v>
      </c>
      <c r="V505" s="1">
        <f t="shared" si="15"/>
        <v>0</v>
      </c>
      <c r="W505" s="25"/>
      <c r="X505">
        <v>7.0900000000000005E-2</v>
      </c>
      <c r="Y505" s="1">
        <v>3.1899999999999998E-2</v>
      </c>
      <c r="Z505" s="1">
        <v>3.1399999999999997E-2</v>
      </c>
      <c r="AA505" s="1">
        <v>2169</v>
      </c>
      <c r="AB505" s="1">
        <v>7</v>
      </c>
      <c r="AC505" s="29">
        <v>330</v>
      </c>
    </row>
    <row r="506" spans="1:29" ht="25.5">
      <c r="A506" s="12">
        <v>25</v>
      </c>
      <c r="B506" s="12" t="s">
        <v>519</v>
      </c>
      <c r="C506" s="12">
        <v>25372</v>
      </c>
      <c r="D506" s="12" t="s">
        <v>566</v>
      </c>
      <c r="E506" s="17">
        <v>0.90788446526151445</v>
      </c>
      <c r="F506" s="17">
        <v>9.2115534738485563E-2</v>
      </c>
      <c r="G506" s="13">
        <v>0.75054928958546951</v>
      </c>
      <c r="H506" s="13">
        <v>9.8350951374207192</v>
      </c>
      <c r="I506" s="14">
        <v>8.5418858040066095</v>
      </c>
      <c r="J506" s="16">
        <v>0.63500000000000001</v>
      </c>
      <c r="K506" s="16">
        <v>0.63500000000000001</v>
      </c>
      <c r="L506" s="13">
        <v>0.43480000000000002</v>
      </c>
      <c r="M506" s="13">
        <v>2.1100000000000001E-2</v>
      </c>
      <c r="N506" s="13">
        <v>5.3400000000000003E-2</v>
      </c>
      <c r="O506" s="13">
        <v>3.09E-2</v>
      </c>
      <c r="P506" s="16">
        <v>0.81830000000000003</v>
      </c>
      <c r="Q506" s="16">
        <v>0.53469999999999995</v>
      </c>
      <c r="R506" s="16">
        <v>0.53469999999999995</v>
      </c>
      <c r="S506" s="16">
        <f t="shared" si="14"/>
        <v>0.62923333333333331</v>
      </c>
      <c r="T506" s="18">
        <v>0.88146615430091602</v>
      </c>
      <c r="U506" s="1">
        <v>0</v>
      </c>
      <c r="V506" s="1">
        <f t="shared" si="15"/>
        <v>0</v>
      </c>
      <c r="W506" s="26"/>
      <c r="X506">
        <v>8.1199999999999994E-2</v>
      </c>
      <c r="Y506" s="1">
        <v>5.3900000000000003E-2</v>
      </c>
      <c r="Z506" s="1">
        <v>5.2499999999999998E-2</v>
      </c>
      <c r="AA506" s="1">
        <v>5105</v>
      </c>
      <c r="AB506" s="1">
        <v>33</v>
      </c>
      <c r="AC506" s="29">
        <v>791</v>
      </c>
    </row>
    <row r="507" spans="1:29" ht="25.5">
      <c r="A507" s="12">
        <v>25</v>
      </c>
      <c r="B507" s="12" t="s">
        <v>519</v>
      </c>
      <c r="C507" s="12">
        <v>25377</v>
      </c>
      <c r="D507" s="12" t="s">
        <v>567</v>
      </c>
      <c r="E507" s="17">
        <v>0.36114681166584278</v>
      </c>
      <c r="F507" s="17">
        <v>0.63885318833415716</v>
      </c>
      <c r="G507" s="13">
        <v>0.55465686946508375</v>
      </c>
      <c r="H507" s="13">
        <v>0.5652611218568665</v>
      </c>
      <c r="I507" s="14">
        <v>9.9149713604774146</v>
      </c>
      <c r="J507" s="16">
        <v>1.5077</v>
      </c>
      <c r="K507" s="16">
        <v>1.4711000000000001</v>
      </c>
      <c r="L507" s="13">
        <v>0.94789999999999996</v>
      </c>
      <c r="M507" s="13">
        <v>3.85E-2</v>
      </c>
      <c r="N507" s="13">
        <v>8.3799999999999999E-2</v>
      </c>
      <c r="O507" s="13">
        <v>6.3600000000000004E-2</v>
      </c>
      <c r="P507" s="16">
        <v>0.2676</v>
      </c>
      <c r="Q507" s="16">
        <v>0.2676</v>
      </c>
      <c r="R507" s="16">
        <v>0.2676</v>
      </c>
      <c r="S507" s="16">
        <f t="shared" si="14"/>
        <v>0.2676</v>
      </c>
      <c r="T507" s="18">
        <v>0.97814863729139101</v>
      </c>
      <c r="U507" s="1">
        <v>0</v>
      </c>
      <c r="V507" s="1">
        <f t="shared" si="15"/>
        <v>0</v>
      </c>
      <c r="W507" s="25"/>
      <c r="X507">
        <v>0.22600000000000001</v>
      </c>
      <c r="Y507" s="1">
        <v>1.8147</v>
      </c>
      <c r="Z507" s="1">
        <v>1.0347999999999999</v>
      </c>
      <c r="AA507" s="1">
        <v>42445</v>
      </c>
      <c r="AB507" s="1">
        <v>239</v>
      </c>
      <c r="AC507" s="29">
        <v>7190</v>
      </c>
    </row>
    <row r="508" spans="1:29" ht="25.5">
      <c r="A508" s="12">
        <v>25</v>
      </c>
      <c r="B508" s="12" t="s">
        <v>519</v>
      </c>
      <c r="C508" s="12">
        <v>25386</v>
      </c>
      <c r="D508" s="12" t="s">
        <v>568</v>
      </c>
      <c r="E508" s="17">
        <v>0.54819558713537775</v>
      </c>
      <c r="F508" s="17">
        <v>0.45180441286462231</v>
      </c>
      <c r="G508" s="13">
        <v>1</v>
      </c>
      <c r="H508" s="13">
        <v>1.2132843619057472</v>
      </c>
      <c r="I508" s="14">
        <v>10.663942852852156</v>
      </c>
      <c r="J508" s="16">
        <v>0.90049999999999997</v>
      </c>
      <c r="K508" s="16">
        <v>0.89949999999999997</v>
      </c>
      <c r="L508" s="13">
        <v>0.56620000000000004</v>
      </c>
      <c r="M508" s="13">
        <v>3.5799999999999998E-2</v>
      </c>
      <c r="N508" s="13">
        <v>6.6799999999999998E-2</v>
      </c>
      <c r="O508" s="13">
        <v>1.61E-2</v>
      </c>
      <c r="P508" s="16">
        <v>0.45840000000000003</v>
      </c>
      <c r="Q508" s="16">
        <v>0.25469999999999998</v>
      </c>
      <c r="R508" s="16">
        <v>0.28939999999999999</v>
      </c>
      <c r="S508" s="16">
        <f t="shared" si="14"/>
        <v>0.33416666666666667</v>
      </c>
      <c r="T508" s="18">
        <v>0.85576745047213398</v>
      </c>
      <c r="U508" s="1">
        <v>7.407407407</v>
      </c>
      <c r="V508" s="1">
        <f t="shared" si="15"/>
        <v>2.1291131514286157</v>
      </c>
      <c r="W508" s="26"/>
      <c r="X508">
        <v>0.11119999999999999</v>
      </c>
      <c r="Y508" s="1">
        <v>2.1137000000000001</v>
      </c>
      <c r="Z508" s="1">
        <v>1.1357999999999999</v>
      </c>
      <c r="AA508" s="1">
        <v>36901</v>
      </c>
      <c r="AB508" s="1">
        <v>270</v>
      </c>
      <c r="AC508" s="29">
        <v>5559</v>
      </c>
    </row>
    <row r="509" spans="1:29" ht="25.5">
      <c r="A509" s="12">
        <v>25</v>
      </c>
      <c r="B509" s="12" t="s">
        <v>519</v>
      </c>
      <c r="C509" s="12">
        <v>25394</v>
      </c>
      <c r="D509" s="12" t="s">
        <v>569</v>
      </c>
      <c r="E509" s="17">
        <v>0.88778801843317967</v>
      </c>
      <c r="F509" s="17">
        <v>0.11221198156682027</v>
      </c>
      <c r="G509" s="13">
        <v>0.77735984237864952</v>
      </c>
      <c r="H509" s="13">
        <v>7.9035897435897438</v>
      </c>
      <c r="I509" s="14">
        <v>9.0688920083918081</v>
      </c>
      <c r="J509" s="16">
        <v>0.68799999999999994</v>
      </c>
      <c r="K509" s="16">
        <v>0.68799999999999994</v>
      </c>
      <c r="L509" s="13">
        <v>0.57140000000000002</v>
      </c>
      <c r="M509" s="13">
        <v>2.0899999999999998E-2</v>
      </c>
      <c r="N509" s="13">
        <v>3.8399999999999997E-2</v>
      </c>
      <c r="O509" s="13">
        <v>2.5000000000000001E-3</v>
      </c>
      <c r="P509" s="16">
        <v>0.41600000000000004</v>
      </c>
      <c r="Q509" s="16">
        <v>0.25920000000000004</v>
      </c>
      <c r="R509" s="16">
        <v>0.25920000000000004</v>
      </c>
      <c r="S509" s="16">
        <f t="shared" si="14"/>
        <v>0.31146666666666672</v>
      </c>
      <c r="T509" s="18">
        <v>0.67490494296577908</v>
      </c>
      <c r="U509" s="1">
        <v>25</v>
      </c>
      <c r="V509" s="1">
        <f t="shared" si="15"/>
        <v>3.2580965380214821</v>
      </c>
      <c r="W509" s="25"/>
      <c r="X509">
        <v>5.11E-2</v>
      </c>
      <c r="Y509" s="1">
        <v>0.1216</v>
      </c>
      <c r="Z509" s="1">
        <v>0.1148</v>
      </c>
      <c r="AA509" s="1">
        <v>9706</v>
      </c>
      <c r="AB509" s="1">
        <v>40</v>
      </c>
      <c r="AC509" s="29">
        <v>1430</v>
      </c>
    </row>
    <row r="510" spans="1:29" ht="25.5">
      <c r="A510" s="12">
        <v>25</v>
      </c>
      <c r="B510" s="12" t="s">
        <v>519</v>
      </c>
      <c r="C510" s="12">
        <v>25398</v>
      </c>
      <c r="D510" s="12" t="s">
        <v>570</v>
      </c>
      <c r="E510" s="17">
        <v>0.93680372695969216</v>
      </c>
      <c r="F510" s="17">
        <v>6.3196273040307879E-2</v>
      </c>
      <c r="G510" s="13">
        <v>0.70964496190886872</v>
      </c>
      <c r="H510" s="13">
        <v>14.776357827476039</v>
      </c>
      <c r="I510" s="14">
        <v>8.5047156699051243</v>
      </c>
      <c r="J510" s="16">
        <v>0.7157</v>
      </c>
      <c r="K510" s="16">
        <v>0.7157</v>
      </c>
      <c r="L510" s="13">
        <v>0.42859999999999998</v>
      </c>
      <c r="M510" s="13">
        <v>4.4600000000000001E-2</v>
      </c>
      <c r="N510" s="13">
        <v>7.5200000000000003E-2</v>
      </c>
      <c r="O510" s="13">
        <v>2.29E-2</v>
      </c>
      <c r="P510" s="16">
        <v>0.13730000000000001</v>
      </c>
      <c r="Q510" s="16">
        <v>6.9500000000000006E-2</v>
      </c>
      <c r="R510" s="16">
        <v>7.4999999999999997E-2</v>
      </c>
      <c r="S510" s="16">
        <f t="shared" si="14"/>
        <v>9.3933333333333327E-2</v>
      </c>
      <c r="T510" s="18">
        <v>0.68857388316151202</v>
      </c>
      <c r="U510" s="1">
        <v>0</v>
      </c>
      <c r="V510" s="1">
        <f t="shared" si="15"/>
        <v>0</v>
      </c>
      <c r="W510" s="26"/>
      <c r="X510">
        <v>2.92E-2</v>
      </c>
      <c r="Y510" s="1">
        <v>3.2199999999999999E-2</v>
      </c>
      <c r="Z510" s="1">
        <v>3.1699999999999999E-2</v>
      </c>
      <c r="AA510" s="1">
        <v>6051</v>
      </c>
      <c r="AB510" s="1">
        <v>19</v>
      </c>
      <c r="AC510" s="29">
        <v>882</v>
      </c>
    </row>
    <row r="511" spans="1:29" ht="25.5">
      <c r="A511" s="12">
        <v>25</v>
      </c>
      <c r="B511" s="12" t="s">
        <v>519</v>
      </c>
      <c r="C511" s="12">
        <v>25402</v>
      </c>
      <c r="D511" s="12" t="s">
        <v>411</v>
      </c>
      <c r="E511" s="17">
        <v>0.63220257428124627</v>
      </c>
      <c r="F511" s="17">
        <v>0.36779742571875373</v>
      </c>
      <c r="G511" s="13">
        <v>0.80353777004494709</v>
      </c>
      <c r="H511" s="13">
        <v>1.7186069326357096</v>
      </c>
      <c r="I511" s="14">
        <v>9.7187831590403793</v>
      </c>
      <c r="J511" s="16">
        <v>0.86299999999999999</v>
      </c>
      <c r="K511" s="16">
        <v>0.86299999999999999</v>
      </c>
      <c r="L511" s="13">
        <v>0.46350000000000002</v>
      </c>
      <c r="M511" s="13">
        <v>1.95E-2</v>
      </c>
      <c r="N511" s="13">
        <v>8.3500000000000005E-2</v>
      </c>
      <c r="O511" s="13">
        <v>2.0999999999999999E-3</v>
      </c>
      <c r="P511" s="16">
        <v>0.5484</v>
      </c>
      <c r="Q511" s="16">
        <v>0.28600000000000003</v>
      </c>
      <c r="R511" s="16">
        <v>0.35859999999999997</v>
      </c>
      <c r="S511" s="16">
        <f t="shared" si="14"/>
        <v>0.39766666666666667</v>
      </c>
      <c r="T511" s="18">
        <v>0.68398899141978309</v>
      </c>
      <c r="U511" s="1">
        <v>9.1743119269999998</v>
      </c>
      <c r="V511" s="1">
        <f t="shared" si="15"/>
        <v>2.3198661051599969</v>
      </c>
      <c r="W511" s="25"/>
      <c r="X511">
        <v>0.13189999999999999</v>
      </c>
      <c r="Y511" s="1">
        <v>0.53759999999999997</v>
      </c>
      <c r="Z511" s="1">
        <v>0.43020000000000003</v>
      </c>
      <c r="AA511" s="1">
        <v>18891</v>
      </c>
      <c r="AB511" s="1">
        <v>109</v>
      </c>
      <c r="AC511" s="29">
        <v>3133</v>
      </c>
    </row>
    <row r="512" spans="1:29" ht="25.5">
      <c r="A512" s="12">
        <v>25</v>
      </c>
      <c r="B512" s="12" t="s">
        <v>519</v>
      </c>
      <c r="C512" s="12">
        <v>25407</v>
      </c>
      <c r="D512" s="12" t="s">
        <v>571</v>
      </c>
      <c r="E512" s="17">
        <v>0.61025288934660715</v>
      </c>
      <c r="F512" s="17">
        <v>0.38974711065339285</v>
      </c>
      <c r="G512" s="13">
        <v>0.7214562866341947</v>
      </c>
      <c r="H512" s="13">
        <v>1.5653067214558263</v>
      </c>
      <c r="I512" s="14">
        <v>9.0756654686495803</v>
      </c>
      <c r="J512" s="16">
        <v>0.8478</v>
      </c>
      <c r="K512" s="16">
        <v>0.8478</v>
      </c>
      <c r="L512" s="13">
        <v>0.56000000000000005</v>
      </c>
      <c r="M512" s="13">
        <v>2.64E-2</v>
      </c>
      <c r="N512" s="13">
        <v>7.3700000000000002E-2</v>
      </c>
      <c r="O512" s="13">
        <v>1.17E-2</v>
      </c>
      <c r="P512" s="16">
        <v>0.59850000000000003</v>
      </c>
      <c r="Q512" s="16">
        <v>0.26839999999999997</v>
      </c>
      <c r="R512" s="16">
        <v>0.28639999999999999</v>
      </c>
      <c r="S512" s="16">
        <f t="shared" si="14"/>
        <v>0.38443333333333335</v>
      </c>
      <c r="T512" s="18">
        <v>0.995274445656125</v>
      </c>
      <c r="U512" s="1">
        <v>10.989010990000001</v>
      </c>
      <c r="V512" s="1">
        <f t="shared" si="15"/>
        <v>2.483990479398714</v>
      </c>
      <c r="W512" s="26"/>
      <c r="X512">
        <v>0.1066</v>
      </c>
      <c r="Y512" s="1">
        <v>1.2932999999999999</v>
      </c>
      <c r="Z512" s="1">
        <v>0.83</v>
      </c>
      <c r="AA512" s="1">
        <v>10629</v>
      </c>
      <c r="AB512" s="1">
        <v>91</v>
      </c>
      <c r="AC512" s="29">
        <v>2129</v>
      </c>
    </row>
    <row r="513" spans="1:29" ht="25.5">
      <c r="A513" s="12">
        <v>25</v>
      </c>
      <c r="B513" s="12" t="s">
        <v>519</v>
      </c>
      <c r="C513" s="12">
        <v>25426</v>
      </c>
      <c r="D513" s="12" t="s">
        <v>572</v>
      </c>
      <c r="E513" s="17">
        <v>0.88456886124071199</v>
      </c>
      <c r="F513" s="17">
        <v>0.11543113875928807</v>
      </c>
      <c r="G513" s="13">
        <v>0.80363838355783923</v>
      </c>
      <c r="H513" s="13">
        <v>7.651718983557549</v>
      </c>
      <c r="I513" s="14">
        <v>8.6635420877513738</v>
      </c>
      <c r="J513" s="16">
        <v>0.80420000000000003</v>
      </c>
      <c r="K513" s="16">
        <v>0.80420000000000003</v>
      </c>
      <c r="L513" s="13">
        <v>0.4541</v>
      </c>
      <c r="M513" s="13">
        <v>1.8200000000000001E-2</v>
      </c>
      <c r="N513" s="13">
        <v>5.7000000000000002E-2</v>
      </c>
      <c r="O513" s="13">
        <v>0</v>
      </c>
      <c r="P513" s="16">
        <v>1</v>
      </c>
      <c r="Q513" s="16">
        <v>0.31790000000000002</v>
      </c>
      <c r="R513" s="16">
        <v>0.3105</v>
      </c>
      <c r="S513" s="16">
        <f t="shared" si="14"/>
        <v>0.54280000000000006</v>
      </c>
      <c r="T513" s="18">
        <v>1</v>
      </c>
      <c r="U513" s="1">
        <v>0</v>
      </c>
      <c r="V513" s="1">
        <f t="shared" si="15"/>
        <v>0</v>
      </c>
      <c r="W513" s="25"/>
      <c r="X513">
        <v>6.7799999999999999E-2</v>
      </c>
      <c r="Y513" s="1">
        <v>0.13689999999999999</v>
      </c>
      <c r="Z513" s="1">
        <v>0.1283</v>
      </c>
      <c r="AA513" s="1">
        <v>6273</v>
      </c>
      <c r="AB513" s="1">
        <v>36</v>
      </c>
      <c r="AC513" s="29">
        <v>964</v>
      </c>
    </row>
    <row r="514" spans="1:29" ht="25.5">
      <c r="A514" s="12">
        <v>25</v>
      </c>
      <c r="B514" s="12" t="s">
        <v>519</v>
      </c>
      <c r="C514" s="12">
        <v>25430</v>
      </c>
      <c r="D514" s="12" t="s">
        <v>573</v>
      </c>
      <c r="E514" s="17">
        <v>0.25270130720600459</v>
      </c>
      <c r="F514" s="17">
        <v>0.74729869279399541</v>
      </c>
      <c r="G514" s="13">
        <v>0.8568684579691378</v>
      </c>
      <c r="H514" s="13">
        <v>0.33814921751244226</v>
      </c>
      <c r="I514" s="14">
        <v>11.687802714874946</v>
      </c>
      <c r="J514" s="16">
        <v>0.99870000000000003</v>
      </c>
      <c r="K514" s="16">
        <v>0.99729999999999996</v>
      </c>
      <c r="L514" s="13">
        <v>0.57609999999999995</v>
      </c>
      <c r="M514" s="13">
        <v>5.3999999999999999E-2</v>
      </c>
      <c r="N514" s="13">
        <v>0.105</v>
      </c>
      <c r="O514" s="13">
        <v>9.1999999999999998E-2</v>
      </c>
      <c r="P514" s="16">
        <v>0.98120000000000007</v>
      </c>
      <c r="Q514" s="16">
        <v>0.85829999999999995</v>
      </c>
      <c r="R514" s="16">
        <v>0.9597</v>
      </c>
      <c r="S514" s="16">
        <f t="shared" ref="S514:S577" si="16">+(P514+Q514+R514)/3</f>
        <v>0.9330666666666666</v>
      </c>
      <c r="T514" s="18">
        <v>1</v>
      </c>
      <c r="U514" s="1">
        <v>7.092198582</v>
      </c>
      <c r="V514" s="1">
        <f t="shared" ref="V514:V577" si="17">LN(U514+1)</f>
        <v>2.0909004595382457</v>
      </c>
      <c r="W514" s="26"/>
      <c r="X514">
        <v>0.32329999999999998</v>
      </c>
      <c r="Y514" s="1">
        <v>11.0159</v>
      </c>
      <c r="Z514" s="1">
        <v>2.4862000000000002</v>
      </c>
      <c r="AA514" s="1">
        <v>139289</v>
      </c>
      <c r="AB514" s="1">
        <v>1692</v>
      </c>
      <c r="AC514" s="29">
        <v>25084</v>
      </c>
    </row>
    <row r="515" spans="1:29" ht="25.5">
      <c r="A515" s="12">
        <v>25</v>
      </c>
      <c r="B515" s="12" t="s">
        <v>519</v>
      </c>
      <c r="C515" s="12">
        <v>25436</v>
      </c>
      <c r="D515" s="12" t="s">
        <v>574</v>
      </c>
      <c r="E515" s="17">
        <v>0.89631692974311361</v>
      </c>
      <c r="F515" s="17">
        <v>0.10368307025688642</v>
      </c>
      <c r="G515" s="13">
        <v>0.74088511809218072</v>
      </c>
      <c r="H515" s="13">
        <v>8.6190476190476186</v>
      </c>
      <c r="I515" s="14">
        <v>8.0808564196409858</v>
      </c>
      <c r="J515" s="16">
        <v>0.74409999999999998</v>
      </c>
      <c r="K515" s="16">
        <v>0.74409999999999998</v>
      </c>
      <c r="L515" s="13">
        <v>0.38140000000000002</v>
      </c>
      <c r="M515" s="13">
        <v>1.14E-2</v>
      </c>
      <c r="N515" s="13">
        <v>0.10979999999999999</v>
      </c>
      <c r="O515" s="13">
        <v>0.11210000000000001</v>
      </c>
      <c r="P515" s="16">
        <v>0.91359999999999997</v>
      </c>
      <c r="Q515" s="16">
        <v>0.1273</v>
      </c>
      <c r="R515" s="16">
        <v>0.129</v>
      </c>
      <c r="S515" s="16">
        <f t="shared" si="16"/>
        <v>0.38996666666666663</v>
      </c>
      <c r="T515" s="18">
        <v>0.74915254237288098</v>
      </c>
      <c r="U515" s="1">
        <v>55.555555560000002</v>
      </c>
      <c r="V515" s="1">
        <f t="shared" si="17"/>
        <v>4.0352234392928885</v>
      </c>
      <c r="W515" s="25"/>
      <c r="X515">
        <v>2.58E-2</v>
      </c>
      <c r="Y515" s="1">
        <v>9.7000000000000003E-2</v>
      </c>
      <c r="Z515" s="1">
        <v>9.2600000000000002E-2</v>
      </c>
      <c r="AA515" s="1">
        <v>3502</v>
      </c>
      <c r="AB515" s="1">
        <v>18</v>
      </c>
      <c r="AC515" s="29">
        <v>462</v>
      </c>
    </row>
    <row r="516" spans="1:29" ht="25.5">
      <c r="A516" s="12">
        <v>25</v>
      </c>
      <c r="B516" s="12" t="s">
        <v>519</v>
      </c>
      <c r="C516" s="12">
        <v>25438</v>
      </c>
      <c r="D516" s="12" t="s">
        <v>575</v>
      </c>
      <c r="E516" s="17">
        <v>0.82759803361152395</v>
      </c>
      <c r="F516" s="17">
        <v>0.17228764147707787</v>
      </c>
      <c r="G516" s="13">
        <v>0.93013611229264148</v>
      </c>
      <c r="H516" s="13">
        <v>4.8003978779840848</v>
      </c>
      <c r="I516" s="14">
        <v>9.0765803817966582</v>
      </c>
      <c r="J516" s="16">
        <v>0.72550000000000003</v>
      </c>
      <c r="K516" s="16">
        <v>0.72550000000000003</v>
      </c>
      <c r="L516" s="13">
        <v>0.52010000000000001</v>
      </c>
      <c r="M516" s="13">
        <v>4.8599999999999997E-2</v>
      </c>
      <c r="N516" s="13">
        <v>8.4000000000000005E-2</v>
      </c>
      <c r="O516" s="13">
        <v>5.9700000000000003E-2</v>
      </c>
      <c r="P516" s="16">
        <v>0.31180000000000002</v>
      </c>
      <c r="Q516" s="16">
        <v>0.31180000000000002</v>
      </c>
      <c r="R516" s="16">
        <v>0.31180000000000002</v>
      </c>
      <c r="S516" s="16">
        <f t="shared" si="16"/>
        <v>0.31180000000000002</v>
      </c>
      <c r="T516" s="18">
        <v>0.53000346860908698</v>
      </c>
      <c r="U516" s="1">
        <v>0</v>
      </c>
      <c r="V516" s="1">
        <f t="shared" si="17"/>
        <v>0</v>
      </c>
      <c r="W516" s="26"/>
      <c r="X516">
        <v>2.8000000000000001E-2</v>
      </c>
      <c r="Y516" s="1">
        <v>1.7399999999999999E-2</v>
      </c>
      <c r="Z516" s="1">
        <v>1.7299999999999999E-2</v>
      </c>
      <c r="AA516" s="1">
        <v>8472</v>
      </c>
      <c r="AB516" s="1">
        <v>69</v>
      </c>
      <c r="AC516" s="29">
        <v>1756</v>
      </c>
    </row>
    <row r="517" spans="1:29" ht="25.5">
      <c r="A517" s="12">
        <v>25</v>
      </c>
      <c r="B517" s="12" t="s">
        <v>519</v>
      </c>
      <c r="C517" s="12">
        <v>25473</v>
      </c>
      <c r="D517" s="12" t="s">
        <v>576</v>
      </c>
      <c r="E517" s="17">
        <v>0.27259365269692692</v>
      </c>
      <c r="F517" s="17">
        <v>0.72740634730307308</v>
      </c>
      <c r="G517" s="13">
        <v>0.66513162549283178</v>
      </c>
      <c r="H517" s="13">
        <v>0.37474243934862078</v>
      </c>
      <c r="I517" s="14">
        <v>11.546505298233424</v>
      </c>
      <c r="J517" s="16">
        <v>0.99060000000000004</v>
      </c>
      <c r="K517" s="16">
        <v>0.98509999999999998</v>
      </c>
      <c r="L517" s="13">
        <v>0.61129999999999995</v>
      </c>
      <c r="M517" s="13">
        <v>2.5000000000000001E-2</v>
      </c>
      <c r="N517" s="13">
        <v>9.8100000000000007E-2</v>
      </c>
      <c r="O517" s="13">
        <v>0.11</v>
      </c>
      <c r="P517" s="16">
        <v>0.98769999999999991</v>
      </c>
      <c r="Q517" s="16">
        <v>0.98309999999999997</v>
      </c>
      <c r="R517" s="16">
        <v>0.99980000000000002</v>
      </c>
      <c r="S517" s="16">
        <f t="shared" si="16"/>
        <v>0.99020000000000008</v>
      </c>
      <c r="T517" s="18">
        <v>0.56380510440835208</v>
      </c>
      <c r="U517" s="1">
        <v>4.1637751559999998</v>
      </c>
      <c r="V517" s="1">
        <f t="shared" si="17"/>
        <v>1.6416679313703235</v>
      </c>
      <c r="W517" s="25"/>
      <c r="X517">
        <v>0.55310000000000004</v>
      </c>
      <c r="Y517" s="1">
        <v>9.0202000000000009</v>
      </c>
      <c r="Z517" s="1">
        <v>2.3046000000000002</v>
      </c>
      <c r="AA517" s="1">
        <v>173675</v>
      </c>
      <c r="AB517" s="1">
        <v>1441</v>
      </c>
      <c r="AC517" s="29">
        <v>32287</v>
      </c>
    </row>
    <row r="518" spans="1:29" ht="25.5">
      <c r="A518" s="12">
        <v>25</v>
      </c>
      <c r="B518" s="12" t="s">
        <v>519</v>
      </c>
      <c r="C518" s="12">
        <v>25483</v>
      </c>
      <c r="D518" s="12" t="s">
        <v>85</v>
      </c>
      <c r="E518" s="17">
        <v>0.85655496766607875</v>
      </c>
      <c r="F518" s="17">
        <v>0.14344503233392122</v>
      </c>
      <c r="G518" s="13">
        <v>0.6059850374064838</v>
      </c>
      <c r="H518" s="13">
        <v>5.9469387755102039</v>
      </c>
      <c r="I518" s="14">
        <v>7.4395593091333199</v>
      </c>
      <c r="J518" s="16">
        <v>0.64080000000000004</v>
      </c>
      <c r="K518" s="16">
        <v>0.64080000000000004</v>
      </c>
      <c r="L518" s="13">
        <v>0.40539999999999998</v>
      </c>
      <c r="M518" s="13">
        <v>2.1399999999999999E-2</v>
      </c>
      <c r="N518" s="13">
        <v>5.7099999999999998E-2</v>
      </c>
      <c r="O518" s="13">
        <v>0</v>
      </c>
      <c r="P518" s="16">
        <v>0.4793</v>
      </c>
      <c r="Q518" s="16">
        <v>0.46820000000000001</v>
      </c>
      <c r="R518" s="16">
        <v>0.4667</v>
      </c>
      <c r="S518" s="16">
        <f t="shared" si="16"/>
        <v>0.47140000000000004</v>
      </c>
      <c r="T518" s="18">
        <v>0.75632911392405011</v>
      </c>
      <c r="U518" s="1">
        <v>66.666666669999998</v>
      </c>
      <c r="V518" s="1">
        <f t="shared" si="17"/>
        <v>4.2145936904229391</v>
      </c>
      <c r="W518" s="26"/>
      <c r="X518">
        <v>6.9800000000000001E-2</v>
      </c>
      <c r="Y518" s="1">
        <v>0.36940000000000001</v>
      </c>
      <c r="Z518" s="1">
        <v>0.31440000000000001</v>
      </c>
      <c r="AA518" s="1">
        <v>2462</v>
      </c>
      <c r="AB518" s="1">
        <v>15</v>
      </c>
      <c r="AC518" s="29">
        <v>379</v>
      </c>
    </row>
    <row r="519" spans="1:29" ht="25.5">
      <c r="A519" s="12">
        <v>25</v>
      </c>
      <c r="B519" s="12" t="s">
        <v>519</v>
      </c>
      <c r="C519" s="12">
        <v>25486</v>
      </c>
      <c r="D519" s="12" t="s">
        <v>577</v>
      </c>
      <c r="E519" s="17">
        <v>0.40750763858577038</v>
      </c>
      <c r="F519" s="17">
        <v>0.59249236141422956</v>
      </c>
      <c r="G519" s="13">
        <v>0.71180016156092707</v>
      </c>
      <c r="H519" s="13">
        <v>0.68768414849734827</v>
      </c>
      <c r="I519" s="14">
        <v>9.3462688892004273</v>
      </c>
      <c r="J519" s="16">
        <v>0.98229999999999995</v>
      </c>
      <c r="K519" s="16">
        <v>0.98019999999999996</v>
      </c>
      <c r="L519" s="13">
        <v>0.504</v>
      </c>
      <c r="M519" s="13">
        <v>4.1700000000000001E-2</v>
      </c>
      <c r="N519" s="13">
        <v>0.1017</v>
      </c>
      <c r="O519" s="13">
        <v>7.6100000000000001E-2</v>
      </c>
      <c r="P519" s="16">
        <v>1</v>
      </c>
      <c r="Q519" s="16">
        <v>0.71779999999999999</v>
      </c>
      <c r="R519" s="16">
        <v>0.76400000000000001</v>
      </c>
      <c r="S519" s="16">
        <f t="shared" si="16"/>
        <v>0.82726666666666659</v>
      </c>
      <c r="T519" s="18">
        <v>1</v>
      </c>
      <c r="U519" s="1">
        <v>10.1010101</v>
      </c>
      <c r="V519" s="1">
        <f t="shared" si="17"/>
        <v>2.4070361041780397</v>
      </c>
      <c r="W519" s="25"/>
      <c r="X519">
        <v>0.17030000000000001</v>
      </c>
      <c r="Y519" s="1">
        <v>2.2151000000000001</v>
      </c>
      <c r="Z519" s="1">
        <v>1.1678999999999999</v>
      </c>
      <c r="AA519" s="1">
        <v>14659</v>
      </c>
      <c r="AB519" s="1">
        <v>198</v>
      </c>
      <c r="AC519" s="29">
        <v>2942</v>
      </c>
    </row>
    <row r="520" spans="1:29" ht="25.5">
      <c r="A520" s="12">
        <v>25</v>
      </c>
      <c r="B520" s="12" t="s">
        <v>519</v>
      </c>
      <c r="C520" s="12">
        <v>25488</v>
      </c>
      <c r="D520" s="12" t="s">
        <v>578</v>
      </c>
      <c r="E520" s="17">
        <v>0.78196817913965821</v>
      </c>
      <c r="F520" s="17">
        <v>0.21803182086034179</v>
      </c>
      <c r="G520" s="13">
        <v>0.25813811986613933</v>
      </c>
      <c r="H520" s="13">
        <v>3.5816464237516867</v>
      </c>
      <c r="I520" s="14">
        <v>8.1300590399927959</v>
      </c>
      <c r="J520" s="16">
        <v>0.83609999999999995</v>
      </c>
      <c r="K520" s="16">
        <v>0.83489999999999998</v>
      </c>
      <c r="L520" s="13">
        <v>0.49180000000000001</v>
      </c>
      <c r="M520" s="13">
        <v>3.6900000000000002E-2</v>
      </c>
      <c r="N520" s="13">
        <v>8.3599999999999994E-2</v>
      </c>
      <c r="O520" s="13">
        <v>0</v>
      </c>
      <c r="P520" s="16">
        <v>0.57530000000000003</v>
      </c>
      <c r="Q520" s="16">
        <v>0.28410000000000002</v>
      </c>
      <c r="R520" s="16">
        <v>0.57909999999999995</v>
      </c>
      <c r="S520" s="16">
        <f t="shared" si="16"/>
        <v>0.47949999999999998</v>
      </c>
      <c r="T520" s="18">
        <v>0.73658872077028803</v>
      </c>
      <c r="U520" s="1">
        <v>21.739130429999999</v>
      </c>
      <c r="V520" s="1">
        <f t="shared" si="17"/>
        <v>3.124087247925448</v>
      </c>
      <c r="W520" s="26"/>
      <c r="X520">
        <v>0.37990000000000002</v>
      </c>
      <c r="Y520" s="1">
        <v>0.79810000000000003</v>
      </c>
      <c r="Z520" s="1">
        <v>0.5867</v>
      </c>
      <c r="AA520" s="1">
        <v>11030</v>
      </c>
      <c r="AB520" s="1">
        <v>46</v>
      </c>
      <c r="AC520" s="29">
        <v>1334</v>
      </c>
    </row>
    <row r="521" spans="1:29" ht="25.5">
      <c r="A521" s="12">
        <v>25</v>
      </c>
      <c r="B521" s="12" t="s">
        <v>519</v>
      </c>
      <c r="C521" s="12">
        <v>25489</v>
      </c>
      <c r="D521" s="12" t="s">
        <v>579</v>
      </c>
      <c r="E521" s="17">
        <v>0.89086399338569655</v>
      </c>
      <c r="F521" s="17">
        <v>0.10913600661430344</v>
      </c>
      <c r="G521" s="13">
        <v>0.56757390896292825</v>
      </c>
      <c r="H521" s="13">
        <v>8.1320754716981138</v>
      </c>
      <c r="I521" s="14">
        <v>7.7915228191507317</v>
      </c>
      <c r="J521" s="16">
        <v>0.68330000000000002</v>
      </c>
      <c r="K521" s="16">
        <v>0.68330000000000002</v>
      </c>
      <c r="L521" s="13">
        <v>0.4158</v>
      </c>
      <c r="M521" s="13">
        <v>2.6100000000000002E-2</v>
      </c>
      <c r="N521" s="13">
        <v>5.9200000000000003E-2</v>
      </c>
      <c r="O521" s="13">
        <v>5.21E-2</v>
      </c>
      <c r="P521" s="16">
        <v>0.75519999999999998</v>
      </c>
      <c r="Q521" s="16">
        <v>0.2104</v>
      </c>
      <c r="R521" s="16">
        <v>0.2089</v>
      </c>
      <c r="S521" s="16">
        <f t="shared" si="16"/>
        <v>0.39150000000000001</v>
      </c>
      <c r="T521" s="18">
        <v>0.66335403726707998</v>
      </c>
      <c r="U521" s="1">
        <v>0</v>
      </c>
      <c r="V521" s="1">
        <f t="shared" si="17"/>
        <v>0</v>
      </c>
      <c r="W521" s="25"/>
      <c r="X521">
        <v>4.5100000000000001E-2</v>
      </c>
      <c r="Y521" s="1">
        <v>0.18590000000000001</v>
      </c>
      <c r="Z521" s="1">
        <v>0.17050000000000001</v>
      </c>
      <c r="AA521" s="1">
        <v>3674</v>
      </c>
      <c r="AB521" s="1">
        <v>9</v>
      </c>
      <c r="AC521" s="29">
        <v>514</v>
      </c>
    </row>
    <row r="522" spans="1:29" ht="25.5">
      <c r="A522" s="12">
        <v>25</v>
      </c>
      <c r="B522" s="12" t="s">
        <v>519</v>
      </c>
      <c r="C522" s="12">
        <v>25491</v>
      </c>
      <c r="D522" s="12" t="s">
        <v>580</v>
      </c>
      <c r="E522" s="17">
        <v>0.84068278805120911</v>
      </c>
      <c r="F522" s="17">
        <v>0.15931721194879089</v>
      </c>
      <c r="G522" s="13">
        <v>0.57788738183312782</v>
      </c>
      <c r="H522" s="13">
        <v>5.2689450222882614</v>
      </c>
      <c r="I522" s="14">
        <v>8.3473534121243382</v>
      </c>
      <c r="J522" s="16">
        <v>0.75239999999999996</v>
      </c>
      <c r="K522" s="16">
        <v>0.75239999999999996</v>
      </c>
      <c r="L522" s="13">
        <v>0.4405</v>
      </c>
      <c r="M522" s="13">
        <v>2.2700000000000001E-2</v>
      </c>
      <c r="N522" s="13">
        <v>7.7799999999999994E-2</v>
      </c>
      <c r="O522" s="13">
        <v>4.4299999999999999E-2</v>
      </c>
      <c r="P522" s="16">
        <v>0.55220000000000002</v>
      </c>
      <c r="Q522" s="16">
        <v>0.25950000000000001</v>
      </c>
      <c r="R522" s="16">
        <v>0.27739999999999998</v>
      </c>
      <c r="S522" s="16">
        <f t="shared" si="16"/>
        <v>0.36303333333333337</v>
      </c>
      <c r="T522" s="18">
        <v>0.83607248209018092</v>
      </c>
      <c r="U522" s="1">
        <v>0</v>
      </c>
      <c r="V522" s="1">
        <f t="shared" si="17"/>
        <v>0</v>
      </c>
      <c r="W522" s="26"/>
      <c r="X522">
        <v>4.6100000000000002E-2</v>
      </c>
      <c r="Y522" s="1">
        <v>0.2336</v>
      </c>
      <c r="Z522" s="1">
        <v>0.2099</v>
      </c>
      <c r="AA522" s="1">
        <v>5654</v>
      </c>
      <c r="AB522" s="1">
        <v>24</v>
      </c>
      <c r="AC522" s="29">
        <v>824</v>
      </c>
    </row>
    <row r="523" spans="1:29" ht="25.5">
      <c r="A523" s="12">
        <v>25</v>
      </c>
      <c r="B523" s="12" t="s">
        <v>519</v>
      </c>
      <c r="C523" s="12">
        <v>25506</v>
      </c>
      <c r="D523" s="12" t="s">
        <v>131</v>
      </c>
      <c r="E523" s="17">
        <v>0.93151329724641097</v>
      </c>
      <c r="F523" s="17">
        <v>6.8486702753589077E-2</v>
      </c>
      <c r="G523" s="13">
        <v>0.84422809457579973</v>
      </c>
      <c r="H523" s="13">
        <v>13.554794520547945</v>
      </c>
      <c r="I523" s="14">
        <v>8.3546742619184631</v>
      </c>
      <c r="J523" s="16">
        <v>0.81989999999999996</v>
      </c>
      <c r="K523" s="16">
        <v>0.81989999999999996</v>
      </c>
      <c r="L523" s="13">
        <v>0.41010000000000002</v>
      </c>
      <c r="M523" s="13">
        <v>2.1100000000000001E-2</v>
      </c>
      <c r="N523" s="13">
        <v>0.1167</v>
      </c>
      <c r="O523" s="13">
        <v>5.1999999999999998E-2</v>
      </c>
      <c r="P523" s="16">
        <v>0.41840000000000005</v>
      </c>
      <c r="Q523" s="16">
        <v>0.1303</v>
      </c>
      <c r="R523" s="16">
        <v>0.254</v>
      </c>
      <c r="S523" s="16">
        <f t="shared" si="16"/>
        <v>0.26756666666666667</v>
      </c>
      <c r="T523" s="18">
        <v>0.90120967741935398</v>
      </c>
      <c r="U523" s="1">
        <v>0</v>
      </c>
      <c r="V523" s="1">
        <f t="shared" si="17"/>
        <v>0</v>
      </c>
      <c r="W523" s="25"/>
      <c r="X523">
        <v>3.49E-2</v>
      </c>
      <c r="Y523" s="1">
        <v>4.8300000000000003E-2</v>
      </c>
      <c r="Z523" s="1">
        <v>4.7100000000000003E-2</v>
      </c>
      <c r="AA523" s="1">
        <v>4505</v>
      </c>
      <c r="AB523" s="1">
        <v>12</v>
      </c>
      <c r="AC523" s="29">
        <v>776</v>
      </c>
    </row>
    <row r="524" spans="1:29" ht="25.5">
      <c r="A524" s="12">
        <v>25</v>
      </c>
      <c r="B524" s="12" t="s">
        <v>519</v>
      </c>
      <c r="C524" s="12">
        <v>25513</v>
      </c>
      <c r="D524" s="12" t="s">
        <v>581</v>
      </c>
      <c r="E524" s="17">
        <v>0.6973063850005482</v>
      </c>
      <c r="F524" s="17">
        <v>0.30265706662768171</v>
      </c>
      <c r="G524" s="13">
        <v>0.93274016499625012</v>
      </c>
      <c r="H524" s="13">
        <v>2.3036706109635352</v>
      </c>
      <c r="I524" s="14">
        <v>10.216910468480059</v>
      </c>
      <c r="J524" s="16">
        <v>0.80420000000000003</v>
      </c>
      <c r="K524" s="16">
        <v>0.80279999999999996</v>
      </c>
      <c r="L524" s="13">
        <v>0.49819999999999998</v>
      </c>
      <c r="M524" s="13">
        <v>2.6100000000000002E-2</v>
      </c>
      <c r="N524" s="13">
        <v>6.8400000000000002E-2</v>
      </c>
      <c r="O524" s="13">
        <v>3.3700000000000001E-2</v>
      </c>
      <c r="P524" s="16">
        <v>0.57930000000000004</v>
      </c>
      <c r="Q524" s="16">
        <v>0.3921</v>
      </c>
      <c r="R524" s="16">
        <v>0.39200000000000002</v>
      </c>
      <c r="S524" s="16">
        <f t="shared" si="16"/>
        <v>0.45446666666666663</v>
      </c>
      <c r="T524" s="18">
        <v>1</v>
      </c>
      <c r="U524" s="1">
        <v>15.2284264</v>
      </c>
      <c r="V524" s="1">
        <f t="shared" si="17"/>
        <v>2.7867644205720876</v>
      </c>
      <c r="W524" s="25"/>
      <c r="X524">
        <v>9.8400000000000001E-2</v>
      </c>
      <c r="Y524" s="1">
        <v>0.22439999999999999</v>
      </c>
      <c r="Z524" s="1">
        <v>0.20250000000000001</v>
      </c>
      <c r="AA524" s="1">
        <v>25018</v>
      </c>
      <c r="AB524" s="1">
        <v>197</v>
      </c>
      <c r="AC524" s="29">
        <v>4316</v>
      </c>
    </row>
    <row r="525" spans="1:29" ht="25.5">
      <c r="A525" s="12">
        <v>25</v>
      </c>
      <c r="B525" s="12" t="s">
        <v>519</v>
      </c>
      <c r="C525" s="12">
        <v>25518</v>
      </c>
      <c r="D525" s="12" t="s">
        <v>582</v>
      </c>
      <c r="E525" s="17">
        <v>0.93404310568683457</v>
      </c>
      <c r="F525" s="17">
        <v>6.5956894313165412E-2</v>
      </c>
      <c r="G525" s="13">
        <v>0.7907597535934292</v>
      </c>
      <c r="H525" s="13">
        <v>14.105882352941176</v>
      </c>
      <c r="I525" s="14">
        <v>8.2563477729180157</v>
      </c>
      <c r="J525" s="16">
        <v>0.56740000000000002</v>
      </c>
      <c r="K525" s="16">
        <v>0.56740000000000002</v>
      </c>
      <c r="L525" s="13">
        <v>0.36770000000000003</v>
      </c>
      <c r="M525" s="13">
        <v>3.9E-2</v>
      </c>
      <c r="N525" s="13">
        <v>4.2799999999999998E-2</v>
      </c>
      <c r="O525" s="13">
        <v>9.2999999999999992E-3</v>
      </c>
      <c r="P525" s="16">
        <v>0.13669999999999999</v>
      </c>
      <c r="Q525" s="16">
        <v>6.9199999999999998E-2</v>
      </c>
      <c r="R525" s="16">
        <v>0.12210000000000001</v>
      </c>
      <c r="S525" s="16">
        <f t="shared" si="16"/>
        <v>0.10933333333333332</v>
      </c>
      <c r="T525" s="18">
        <v>0.58479212253829305</v>
      </c>
      <c r="U525" s="1">
        <v>66.666666669999998</v>
      </c>
      <c r="V525" s="1">
        <f t="shared" si="17"/>
        <v>4.2145936904229391</v>
      </c>
      <c r="W525" s="26"/>
      <c r="X525">
        <v>7.0099999999999996E-2</v>
      </c>
      <c r="Y525" s="1">
        <v>2.0799999999999999E-2</v>
      </c>
      <c r="Z525" s="1">
        <v>2.06E-2</v>
      </c>
      <c r="AA525" s="1">
        <v>3853</v>
      </c>
      <c r="AB525" s="1">
        <v>15</v>
      </c>
      <c r="AC525" s="29">
        <v>676</v>
      </c>
    </row>
    <row r="526" spans="1:29" ht="25.5">
      <c r="A526" s="12">
        <v>25</v>
      </c>
      <c r="B526" s="12" t="s">
        <v>519</v>
      </c>
      <c r="C526" s="12">
        <v>25524</v>
      </c>
      <c r="D526" s="12" t="s">
        <v>583</v>
      </c>
      <c r="E526" s="17">
        <v>0.91279887482419131</v>
      </c>
      <c r="F526" s="17">
        <v>8.7201125175808719E-2</v>
      </c>
      <c r="G526" s="13">
        <v>0.59408422459893051</v>
      </c>
      <c r="H526" s="13">
        <v>10.434083601286174</v>
      </c>
      <c r="I526" s="14">
        <v>8.1763915966337954</v>
      </c>
      <c r="J526" s="16">
        <v>0.77790000000000004</v>
      </c>
      <c r="K526" s="16">
        <v>0.77790000000000004</v>
      </c>
      <c r="L526" s="13">
        <v>0.48080000000000001</v>
      </c>
      <c r="M526" s="13">
        <v>2.4E-2</v>
      </c>
      <c r="N526" s="13">
        <v>5.04E-2</v>
      </c>
      <c r="O526" s="13">
        <v>1.2999999999999999E-3</v>
      </c>
      <c r="P526" s="16">
        <v>0</v>
      </c>
      <c r="Q526" s="16">
        <v>0</v>
      </c>
      <c r="R526" s="16">
        <v>0</v>
      </c>
      <c r="S526" s="16">
        <f t="shared" si="16"/>
        <v>0</v>
      </c>
      <c r="T526" s="18">
        <v>0.74582924435721298</v>
      </c>
      <c r="U526" s="1">
        <v>0</v>
      </c>
      <c r="V526" s="1">
        <f t="shared" si="17"/>
        <v>0</v>
      </c>
      <c r="W526" s="25"/>
      <c r="X526">
        <v>4.53E-2</v>
      </c>
      <c r="Y526" s="1">
        <v>0.24299999999999999</v>
      </c>
      <c r="Z526" s="1">
        <v>0.2175</v>
      </c>
      <c r="AA526" s="1">
        <v>4941</v>
      </c>
      <c r="AB526" s="1">
        <v>22</v>
      </c>
      <c r="AC526" s="29">
        <v>838</v>
      </c>
    </row>
    <row r="527" spans="1:29" ht="25.5">
      <c r="A527" s="12">
        <v>25</v>
      </c>
      <c r="B527" s="12" t="s">
        <v>519</v>
      </c>
      <c r="C527" s="12">
        <v>25530</v>
      </c>
      <c r="D527" s="12" t="s">
        <v>584</v>
      </c>
      <c r="E527" s="17">
        <v>0.63671572424477152</v>
      </c>
      <c r="F527" s="17">
        <v>0.36328427575522848</v>
      </c>
      <c r="G527" s="13">
        <v>0.63502213477619285</v>
      </c>
      <c r="H527" s="13">
        <v>1.751918158567775</v>
      </c>
      <c r="I527" s="14">
        <v>8.7727652099497853</v>
      </c>
      <c r="J527" s="16">
        <v>0.86770000000000003</v>
      </c>
      <c r="K527" s="16">
        <v>0.86770000000000003</v>
      </c>
      <c r="L527" s="13">
        <v>0.41139999999999999</v>
      </c>
      <c r="M527" s="13">
        <v>0.05</v>
      </c>
      <c r="N527" s="13">
        <v>0.1087</v>
      </c>
      <c r="O527" s="13">
        <v>0</v>
      </c>
      <c r="P527" s="16">
        <v>0.18309999999999998</v>
      </c>
      <c r="Q527" s="16">
        <v>0.18309999999999998</v>
      </c>
      <c r="R527" s="16">
        <v>0.32659999999999995</v>
      </c>
      <c r="S527" s="16">
        <f t="shared" si="16"/>
        <v>0.2309333333333333</v>
      </c>
      <c r="T527" s="18">
        <v>0.817615658362989</v>
      </c>
      <c r="U527" s="1">
        <v>19.60784314</v>
      </c>
      <c r="V527" s="1">
        <f t="shared" si="17"/>
        <v>3.025671738285832</v>
      </c>
      <c r="W527" s="26"/>
      <c r="X527">
        <v>0.1827</v>
      </c>
      <c r="Y527" s="1">
        <v>4.3999999999999997E-2</v>
      </c>
      <c r="Z527" s="1">
        <v>4.3099999999999999E-2</v>
      </c>
      <c r="AA527" s="1">
        <v>8841</v>
      </c>
      <c r="AB527" s="1">
        <v>102</v>
      </c>
      <c r="AC527" s="29">
        <v>2012</v>
      </c>
    </row>
    <row r="528" spans="1:29" ht="25.5">
      <c r="A528" s="12">
        <v>25</v>
      </c>
      <c r="B528" s="12" t="s">
        <v>519</v>
      </c>
      <c r="C528" s="12">
        <v>25535</v>
      </c>
      <c r="D528" s="12" t="s">
        <v>585</v>
      </c>
      <c r="E528" s="17">
        <v>0.92757181438742942</v>
      </c>
      <c r="F528" s="17">
        <v>7.2428185612570584E-2</v>
      </c>
      <c r="G528" s="13">
        <v>0.7494020239190432</v>
      </c>
      <c r="H528" s="13">
        <v>12.785109983079526</v>
      </c>
      <c r="I528" s="14">
        <v>9.0054050403106416</v>
      </c>
      <c r="J528" s="16">
        <v>1.0015000000000001</v>
      </c>
      <c r="K528" s="16">
        <v>1.0015000000000001</v>
      </c>
      <c r="L528" s="13">
        <v>0.64939999999999998</v>
      </c>
      <c r="M528" s="13">
        <v>2.1000000000000001E-2</v>
      </c>
      <c r="N528" s="13">
        <v>9.2399999999999996E-2</v>
      </c>
      <c r="O528" s="13">
        <v>3.1899999999999998E-2</v>
      </c>
      <c r="P528" s="16">
        <v>0.60939999999999994</v>
      </c>
      <c r="Q528" s="16">
        <v>0.13419999999999999</v>
      </c>
      <c r="R528" s="16">
        <v>0.15010000000000001</v>
      </c>
      <c r="S528" s="16">
        <f t="shared" si="16"/>
        <v>0.2979</v>
      </c>
      <c r="T528" s="18">
        <v>0.97013838310269407</v>
      </c>
      <c r="U528" s="1">
        <v>0</v>
      </c>
      <c r="V528" s="1">
        <f t="shared" si="17"/>
        <v>0</v>
      </c>
      <c r="W528" s="25"/>
      <c r="X528">
        <v>4.4200000000000003E-2</v>
      </c>
      <c r="Y528" s="1">
        <v>0.23080000000000001</v>
      </c>
      <c r="Z528" s="1">
        <v>0.20760000000000001</v>
      </c>
      <c r="AA528" s="1">
        <v>9386</v>
      </c>
      <c r="AB528" s="1">
        <v>70</v>
      </c>
      <c r="AC528" s="29">
        <v>1780</v>
      </c>
    </row>
    <row r="529" spans="1:29" ht="25.5">
      <c r="A529" s="12">
        <v>25</v>
      </c>
      <c r="B529" s="12" t="s">
        <v>519</v>
      </c>
      <c r="C529" s="12">
        <v>25572</v>
      </c>
      <c r="D529" s="12" t="s">
        <v>586</v>
      </c>
      <c r="E529" s="17">
        <v>0.80669916001244424</v>
      </c>
      <c r="F529" s="17">
        <v>0.19330083998755573</v>
      </c>
      <c r="G529" s="13">
        <v>0.51344443852829991</v>
      </c>
      <c r="H529" s="13">
        <v>4.1710455764075069</v>
      </c>
      <c r="I529" s="14">
        <v>9.1740912393010614</v>
      </c>
      <c r="J529" s="16">
        <v>0.91739999999999999</v>
      </c>
      <c r="K529" s="16">
        <v>0.91710000000000003</v>
      </c>
      <c r="L529" s="13">
        <v>0.63759999999999994</v>
      </c>
      <c r="M529" s="13">
        <v>2.63E-2</v>
      </c>
      <c r="N529" s="13">
        <v>7.4399999999999994E-2</v>
      </c>
      <c r="O529" s="13">
        <v>2.75E-2</v>
      </c>
      <c r="P529" s="16">
        <v>0</v>
      </c>
      <c r="Q529" s="16">
        <v>0</v>
      </c>
      <c r="R529" s="16">
        <v>0</v>
      </c>
      <c r="S529" s="16">
        <f t="shared" si="16"/>
        <v>0</v>
      </c>
      <c r="T529" s="18">
        <v>0.79471032745591896</v>
      </c>
      <c r="U529" s="1">
        <v>17.85714286</v>
      </c>
      <c r="V529" s="1">
        <f t="shared" si="17"/>
        <v>2.9368917736825728</v>
      </c>
      <c r="W529" s="26"/>
      <c r="X529">
        <v>0.19650000000000001</v>
      </c>
      <c r="Y529" s="1">
        <v>0.36070000000000002</v>
      </c>
      <c r="Z529" s="1">
        <v>0.308</v>
      </c>
      <c r="AA529" s="1">
        <v>15771</v>
      </c>
      <c r="AB529" s="1">
        <v>112</v>
      </c>
      <c r="AC529" s="29">
        <v>2792</v>
      </c>
    </row>
    <row r="530" spans="1:29" ht="25.5">
      <c r="A530" s="12">
        <v>25</v>
      </c>
      <c r="B530" s="12" t="s">
        <v>519</v>
      </c>
      <c r="C530" s="12">
        <v>25580</v>
      </c>
      <c r="D530" s="12" t="s">
        <v>587</v>
      </c>
      <c r="E530" s="17">
        <v>0.95371814872594907</v>
      </c>
      <c r="F530" s="17">
        <v>4.6281851274050961E-2</v>
      </c>
      <c r="G530" s="13">
        <v>0.48708206686930089</v>
      </c>
      <c r="H530" s="13">
        <v>20.377777777777776</v>
      </c>
      <c r="I530" s="14">
        <v>7.5621616312256519</v>
      </c>
      <c r="J530" s="16">
        <v>0.52039999999999997</v>
      </c>
      <c r="K530" s="16">
        <v>0.52039999999999997</v>
      </c>
      <c r="L530" s="13">
        <v>0.39810000000000001</v>
      </c>
      <c r="M530" s="13">
        <v>4.1000000000000002E-2</v>
      </c>
      <c r="N530" s="13">
        <v>6.5600000000000006E-2</v>
      </c>
      <c r="O530" s="13">
        <v>9.2899999999999996E-2</v>
      </c>
      <c r="P530" s="16">
        <v>7.9399999999999998E-2</v>
      </c>
      <c r="Q530" s="16">
        <v>3.2099999999999997E-2</v>
      </c>
      <c r="R530" s="16">
        <v>5.8600000000000006E-2</v>
      </c>
      <c r="S530" s="16">
        <f t="shared" si="16"/>
        <v>5.67E-2</v>
      </c>
      <c r="T530" s="18">
        <v>0.57392996108949401</v>
      </c>
      <c r="U530" s="1">
        <v>0</v>
      </c>
      <c r="V530" s="1">
        <f t="shared" si="17"/>
        <v>0</v>
      </c>
      <c r="W530" s="25"/>
      <c r="X530">
        <v>4.58E-2</v>
      </c>
      <c r="Y530" s="1">
        <v>2.86E-2</v>
      </c>
      <c r="Z530" s="1">
        <v>2.8199999999999999E-2</v>
      </c>
      <c r="AA530" s="1">
        <v>3652</v>
      </c>
      <c r="AB530" s="1">
        <v>4</v>
      </c>
      <c r="AC530" s="29">
        <v>618</v>
      </c>
    </row>
    <row r="531" spans="1:29" ht="25.5">
      <c r="A531" s="12">
        <v>25</v>
      </c>
      <c r="B531" s="12" t="s">
        <v>519</v>
      </c>
      <c r="C531" s="12">
        <v>25592</v>
      </c>
      <c r="D531" s="12" t="s">
        <v>588</v>
      </c>
      <c r="E531" s="17">
        <v>0.87072808320950967</v>
      </c>
      <c r="F531" s="17">
        <v>0.12927191679049035</v>
      </c>
      <c r="G531" s="13">
        <v>0.60272255060003588</v>
      </c>
      <c r="H531" s="13">
        <v>6.7201834862385317</v>
      </c>
      <c r="I531" s="14">
        <v>8.1214803747507514</v>
      </c>
      <c r="J531" s="16">
        <v>0.89829999999999999</v>
      </c>
      <c r="K531" s="16">
        <v>0.89710000000000001</v>
      </c>
      <c r="L531" s="13">
        <v>0.71760000000000002</v>
      </c>
      <c r="M531" s="13">
        <v>4.0300000000000002E-2</v>
      </c>
      <c r="N531" s="13">
        <v>9.6100000000000005E-2</v>
      </c>
      <c r="O531" s="13">
        <v>2.9899999999999999E-2</v>
      </c>
      <c r="P531" s="16">
        <v>0.43590000000000001</v>
      </c>
      <c r="Q531" s="16">
        <v>0.14529999999999998</v>
      </c>
      <c r="R531" s="16">
        <v>0.21690000000000001</v>
      </c>
      <c r="S531" s="16">
        <f t="shared" si="16"/>
        <v>0.26603333333333329</v>
      </c>
      <c r="T531" s="18">
        <v>0.84385076001842407</v>
      </c>
      <c r="U531" s="1">
        <v>0</v>
      </c>
      <c r="V531" s="1">
        <f t="shared" si="17"/>
        <v>0</v>
      </c>
      <c r="W531" s="26"/>
      <c r="X531">
        <v>2.8799999999999999E-2</v>
      </c>
      <c r="Y531" s="1">
        <v>0.20580000000000001</v>
      </c>
      <c r="Z531" s="1">
        <v>0.18709999999999999</v>
      </c>
      <c r="AA531" s="1">
        <v>4922</v>
      </c>
      <c r="AB531" s="1">
        <v>15</v>
      </c>
      <c r="AC531" s="29">
        <v>722</v>
      </c>
    </row>
    <row r="532" spans="1:29" ht="25.5">
      <c r="A532" s="12">
        <v>25</v>
      </c>
      <c r="B532" s="12" t="s">
        <v>519</v>
      </c>
      <c r="C532" s="12">
        <v>25594</v>
      </c>
      <c r="D532" s="12" t="s">
        <v>589</v>
      </c>
      <c r="E532" s="17">
        <v>0.85559296670407781</v>
      </c>
      <c r="F532" s="17">
        <v>0.14440703329592219</v>
      </c>
      <c r="G532" s="13">
        <v>0.88818740654593786</v>
      </c>
      <c r="H532" s="13">
        <v>5.9172056921086673</v>
      </c>
      <c r="I532" s="14">
        <v>8.5842909349487311</v>
      </c>
      <c r="J532" s="16">
        <v>1.028</v>
      </c>
      <c r="K532" s="16">
        <v>1.028</v>
      </c>
      <c r="L532" s="13">
        <v>0.87150000000000005</v>
      </c>
      <c r="M532" s="13">
        <v>1.21E-2</v>
      </c>
      <c r="N532" s="13">
        <v>9.1800000000000007E-2</v>
      </c>
      <c r="O532" s="13">
        <v>2.2499999999999999E-2</v>
      </c>
      <c r="P532" s="16">
        <v>0.52639999999999998</v>
      </c>
      <c r="Q532" s="16">
        <v>0.4758</v>
      </c>
      <c r="R532" s="16">
        <v>0.48979999999999996</v>
      </c>
      <c r="S532" s="16">
        <f t="shared" si="16"/>
        <v>0.49733333333333335</v>
      </c>
      <c r="T532" s="18">
        <v>1</v>
      </c>
      <c r="U532" s="1">
        <v>0</v>
      </c>
      <c r="V532" s="1">
        <f t="shared" si="17"/>
        <v>0</v>
      </c>
      <c r="W532" s="25"/>
      <c r="X532">
        <v>0.1487</v>
      </c>
      <c r="Y532" s="1">
        <v>0.26650000000000001</v>
      </c>
      <c r="Z532" s="1">
        <v>0.23630000000000001</v>
      </c>
      <c r="AA532" s="1">
        <v>5182</v>
      </c>
      <c r="AB532" s="1">
        <v>51</v>
      </c>
      <c r="AC532" s="29">
        <v>988</v>
      </c>
    </row>
    <row r="533" spans="1:29" ht="25.5">
      <c r="A533" s="12">
        <v>25</v>
      </c>
      <c r="B533" s="12" t="s">
        <v>519</v>
      </c>
      <c r="C533" s="12">
        <v>25596</v>
      </c>
      <c r="D533" s="12" t="s">
        <v>590</v>
      </c>
      <c r="E533" s="17">
        <v>0.96245797534553601</v>
      </c>
      <c r="F533" s="17">
        <v>3.7542024654463955E-2</v>
      </c>
      <c r="G533" s="13">
        <v>0.72705051602390003</v>
      </c>
      <c r="H533" s="13">
        <v>25.509900990099009</v>
      </c>
      <c r="I533" s="14">
        <v>8.5857859828818484</v>
      </c>
      <c r="J533" s="16">
        <v>0.82530000000000003</v>
      </c>
      <c r="K533" s="16">
        <v>0.82530000000000003</v>
      </c>
      <c r="L533" s="13">
        <v>0.45610000000000001</v>
      </c>
      <c r="M533" s="13">
        <v>5.1900000000000002E-2</v>
      </c>
      <c r="N533" s="13">
        <v>7.5300000000000006E-2</v>
      </c>
      <c r="O533" s="13">
        <v>7.1000000000000004E-3</v>
      </c>
      <c r="P533" s="16">
        <v>0.14419999999999999</v>
      </c>
      <c r="Q533" s="16">
        <v>4.7300000000000002E-2</v>
      </c>
      <c r="R533" s="16">
        <v>6.9699999999999998E-2</v>
      </c>
      <c r="S533" s="16">
        <f t="shared" si="16"/>
        <v>8.7066666666666667E-2</v>
      </c>
      <c r="T533" s="18">
        <v>0.92910447761194004</v>
      </c>
      <c r="U533" s="1">
        <v>0</v>
      </c>
      <c r="V533" s="1">
        <f t="shared" si="17"/>
        <v>0</v>
      </c>
      <c r="W533" s="26"/>
      <c r="X533">
        <v>4.1599999999999998E-2</v>
      </c>
      <c r="Y533" s="1">
        <v>0.1038</v>
      </c>
      <c r="Z533" s="1">
        <v>9.8799999999999999E-2</v>
      </c>
      <c r="AA533" s="1">
        <v>5777</v>
      </c>
      <c r="AB533" s="1">
        <v>24</v>
      </c>
      <c r="AC533" s="29">
        <v>867</v>
      </c>
    </row>
    <row r="534" spans="1:29" ht="25.5">
      <c r="A534" s="12">
        <v>25</v>
      </c>
      <c r="B534" s="12" t="s">
        <v>519</v>
      </c>
      <c r="C534" s="12">
        <v>25599</v>
      </c>
      <c r="D534" s="12" t="s">
        <v>524</v>
      </c>
      <c r="E534" s="17">
        <v>0.72081505589358996</v>
      </c>
      <c r="F534" s="17">
        <v>0.27918494410641009</v>
      </c>
      <c r="G534" s="13">
        <v>0.71492159838138591</v>
      </c>
      <c r="H534" s="13">
        <v>2.5805471124620061</v>
      </c>
      <c r="I534" s="14">
        <v>8.8633328334395873</v>
      </c>
      <c r="J534" s="16">
        <v>0.72660000000000002</v>
      </c>
      <c r="K534" s="16">
        <v>0.72660000000000002</v>
      </c>
      <c r="L534" s="13">
        <v>0.29959999999999998</v>
      </c>
      <c r="M534" s="13">
        <v>3.0700000000000002E-2</v>
      </c>
      <c r="N534" s="13">
        <v>0.10249999999999999</v>
      </c>
      <c r="O534" s="13">
        <v>0</v>
      </c>
      <c r="P534" s="16">
        <v>0.16589999999999999</v>
      </c>
      <c r="Q534" s="16">
        <v>0.16420000000000001</v>
      </c>
      <c r="R534" s="16">
        <v>0.17829999999999999</v>
      </c>
      <c r="S534" s="16">
        <f t="shared" si="16"/>
        <v>0.16946666666666665</v>
      </c>
      <c r="T534" s="18">
        <v>0.99928520371694007</v>
      </c>
      <c r="U534" s="1">
        <v>0</v>
      </c>
      <c r="V534" s="1">
        <f t="shared" si="17"/>
        <v>0</v>
      </c>
      <c r="W534" s="25"/>
      <c r="X534">
        <v>0.1173</v>
      </c>
      <c r="Y534" s="1">
        <v>0.53990000000000005</v>
      </c>
      <c r="Z534" s="1">
        <v>0.43169999999999997</v>
      </c>
      <c r="AA534" s="1">
        <v>8624</v>
      </c>
      <c r="AB534" s="1">
        <v>56</v>
      </c>
      <c r="AC534" s="29">
        <v>1448</v>
      </c>
    </row>
    <row r="535" spans="1:29" ht="25.5">
      <c r="A535" s="12">
        <v>25</v>
      </c>
      <c r="B535" s="12" t="s">
        <v>519</v>
      </c>
      <c r="C535" s="12">
        <v>25612</v>
      </c>
      <c r="D535" s="12" t="s">
        <v>591</v>
      </c>
      <c r="E535" s="17">
        <v>0.72208988407178021</v>
      </c>
      <c r="F535" s="17">
        <v>0.27791011592821979</v>
      </c>
      <c r="G535" s="13">
        <v>0.39804045512010111</v>
      </c>
      <c r="H535" s="13">
        <v>2.5968018275271274</v>
      </c>
      <c r="I535" s="14">
        <v>8.7479874016609696</v>
      </c>
      <c r="J535" s="16">
        <v>0.63729999999999998</v>
      </c>
      <c r="K535" s="16">
        <v>0.63649999999999995</v>
      </c>
      <c r="L535" s="13">
        <v>0.28010000000000002</v>
      </c>
      <c r="M535" s="13">
        <v>6.3200000000000006E-2</v>
      </c>
      <c r="N535" s="13">
        <v>0.10639999999999999</v>
      </c>
      <c r="O535" s="13">
        <v>0</v>
      </c>
      <c r="P535" s="16">
        <v>0.55049999999999999</v>
      </c>
      <c r="Q535" s="16">
        <v>0.48219999999999996</v>
      </c>
      <c r="R535" s="16">
        <v>0.53029999999999999</v>
      </c>
      <c r="S535" s="16">
        <f t="shared" si="16"/>
        <v>0.52100000000000002</v>
      </c>
      <c r="T535" s="18">
        <v>0.81885782272456797</v>
      </c>
      <c r="U535" s="1">
        <v>0</v>
      </c>
      <c r="V535" s="1">
        <f t="shared" si="17"/>
        <v>0</v>
      </c>
      <c r="W535" s="25"/>
      <c r="X535">
        <v>0.62529999999999997</v>
      </c>
      <c r="Y535" s="1">
        <v>3.6236999999999999</v>
      </c>
      <c r="Z535" s="1">
        <v>1.5311999999999999</v>
      </c>
      <c r="AA535" s="1">
        <v>15191</v>
      </c>
      <c r="AB535" s="1">
        <v>84</v>
      </c>
      <c r="AC535" s="29">
        <v>2504</v>
      </c>
    </row>
    <row r="536" spans="1:29" ht="25.5">
      <c r="A536" s="12">
        <v>25</v>
      </c>
      <c r="B536" s="12" t="s">
        <v>519</v>
      </c>
      <c r="C536" s="12">
        <v>25645</v>
      </c>
      <c r="D536" s="12" t="s">
        <v>592</v>
      </c>
      <c r="E536" s="17">
        <v>0.79088509101014315</v>
      </c>
      <c r="F536" s="17">
        <v>0.20911490898985688</v>
      </c>
      <c r="G536" s="13">
        <v>0.50473385230380807</v>
      </c>
      <c r="H536" s="13">
        <v>3.7795484727755646</v>
      </c>
      <c r="I536" s="14">
        <v>8.8815584886389765</v>
      </c>
      <c r="J536" s="16">
        <v>0.74070000000000003</v>
      </c>
      <c r="K536" s="16">
        <v>0.74070000000000003</v>
      </c>
      <c r="L536" s="13">
        <v>0.4153</v>
      </c>
      <c r="M536" s="13">
        <v>3.0599999999999999E-2</v>
      </c>
      <c r="N536" s="13">
        <v>8.5199999999999998E-2</v>
      </c>
      <c r="O536" s="13">
        <v>3.3099999999999997E-2</v>
      </c>
      <c r="P536" s="16">
        <v>0.3488</v>
      </c>
      <c r="Q536" s="16">
        <v>5.0499999999999996E-2</v>
      </c>
      <c r="R536" s="16">
        <v>0.16649999999999998</v>
      </c>
      <c r="S536" s="16">
        <f t="shared" si="16"/>
        <v>0.18859999999999999</v>
      </c>
      <c r="T536" s="18">
        <v>0.90433832709113604</v>
      </c>
      <c r="U536" s="1">
        <v>0</v>
      </c>
      <c r="V536" s="1">
        <f t="shared" si="17"/>
        <v>0</v>
      </c>
      <c r="W536" s="26"/>
      <c r="X536">
        <v>5.2699999999999997E-2</v>
      </c>
      <c r="Y536" s="1">
        <v>1.4890000000000001</v>
      </c>
      <c r="Z536" s="1">
        <v>0.91190000000000004</v>
      </c>
      <c r="AA536" s="1">
        <v>12208</v>
      </c>
      <c r="AB536" s="1">
        <v>56</v>
      </c>
      <c r="AC536" s="29">
        <v>1869</v>
      </c>
    </row>
    <row r="537" spans="1:29" ht="25.5">
      <c r="A537" s="12">
        <v>25</v>
      </c>
      <c r="B537" s="12" t="s">
        <v>519</v>
      </c>
      <c r="C537" s="12">
        <v>25649</v>
      </c>
      <c r="D537" s="12" t="s">
        <v>593</v>
      </c>
      <c r="E537" s="17">
        <v>0.91594039921281978</v>
      </c>
      <c r="F537" s="17">
        <v>8.4059600787180208E-2</v>
      </c>
      <c r="G537" s="13">
        <v>0.70998003992015968</v>
      </c>
      <c r="H537" s="13">
        <v>10.87813021702838</v>
      </c>
      <c r="I537" s="14">
        <v>8.8699605105239527</v>
      </c>
      <c r="J537" s="16">
        <v>0.77510000000000001</v>
      </c>
      <c r="K537" s="16">
        <v>0.77400000000000002</v>
      </c>
      <c r="L537" s="13">
        <v>0.57799999999999996</v>
      </c>
      <c r="M537" s="13">
        <v>2.92E-2</v>
      </c>
      <c r="N537" s="13">
        <v>7.3899999999999993E-2</v>
      </c>
      <c r="O537" s="13">
        <v>2.98E-2</v>
      </c>
      <c r="P537" s="16">
        <v>0.46429999999999999</v>
      </c>
      <c r="Q537" s="16">
        <v>0.27729999999999999</v>
      </c>
      <c r="R537" s="16">
        <v>0.26700000000000002</v>
      </c>
      <c r="S537" s="16">
        <f t="shared" si="16"/>
        <v>0.3362</v>
      </c>
      <c r="T537" s="18">
        <v>0.79950900163666105</v>
      </c>
      <c r="U537" s="1">
        <v>0</v>
      </c>
      <c r="V537" s="1">
        <f t="shared" si="17"/>
        <v>0</v>
      </c>
      <c r="W537" s="25"/>
      <c r="X537">
        <v>5.67E-2</v>
      </c>
      <c r="Y537" s="1">
        <v>0.1321</v>
      </c>
      <c r="Z537" s="1">
        <v>0.1241</v>
      </c>
      <c r="AA537" s="1">
        <v>8709</v>
      </c>
      <c r="AB537" s="1">
        <v>37</v>
      </c>
      <c r="AC537" s="29">
        <v>1598</v>
      </c>
    </row>
    <row r="538" spans="1:29" ht="25.5">
      <c r="A538" s="12">
        <v>25</v>
      </c>
      <c r="B538" s="12" t="s">
        <v>519</v>
      </c>
      <c r="C538" s="12">
        <v>25653</v>
      </c>
      <c r="D538" s="12" t="s">
        <v>594</v>
      </c>
      <c r="E538" s="17">
        <v>0.91734052111410602</v>
      </c>
      <c r="F538" s="17">
        <v>8.2659478885893978E-2</v>
      </c>
      <c r="G538" s="13">
        <v>0.58201150427052462</v>
      </c>
      <c r="H538" s="13">
        <v>11.057761732851986</v>
      </c>
      <c r="I538" s="14">
        <v>8.1137260859707467</v>
      </c>
      <c r="J538" s="16">
        <v>0.63219999999999998</v>
      </c>
      <c r="K538" s="16">
        <v>0.63219999999999998</v>
      </c>
      <c r="L538" s="13">
        <v>0.4138</v>
      </c>
      <c r="M538" s="13">
        <v>5.9700000000000003E-2</v>
      </c>
      <c r="N538" s="13">
        <v>5.67E-2</v>
      </c>
      <c r="O538" s="13">
        <v>3.0999999999999999E-3</v>
      </c>
      <c r="P538" s="16">
        <v>0.13769999999999999</v>
      </c>
      <c r="Q538" s="16">
        <v>0.1216</v>
      </c>
      <c r="R538" s="16">
        <v>0.1114</v>
      </c>
      <c r="S538" s="16">
        <f t="shared" si="16"/>
        <v>0.12356666666666666</v>
      </c>
      <c r="T538" s="18">
        <v>0.83094098883572498</v>
      </c>
      <c r="U538" s="1">
        <v>0</v>
      </c>
      <c r="V538" s="1">
        <f t="shared" si="17"/>
        <v>0</v>
      </c>
      <c r="W538" s="26"/>
      <c r="X538">
        <v>3.0499999999999999E-2</v>
      </c>
      <c r="Y538" s="1">
        <v>2.76E-2</v>
      </c>
      <c r="Z538" s="1">
        <v>2.7199999999999998E-2</v>
      </c>
      <c r="AA538" s="1">
        <v>4839</v>
      </c>
      <c r="AB538" s="1">
        <v>28</v>
      </c>
      <c r="AC538" s="29">
        <v>853</v>
      </c>
    </row>
    <row r="539" spans="1:29" ht="25.5">
      <c r="A539" s="12">
        <v>25</v>
      </c>
      <c r="B539" s="12" t="s">
        <v>519</v>
      </c>
      <c r="C539" s="12">
        <v>25658</v>
      </c>
      <c r="D539" s="12" t="s">
        <v>103</v>
      </c>
      <c r="E539" s="17">
        <v>0.74538801646592467</v>
      </c>
      <c r="F539" s="17">
        <v>0.25461198353407533</v>
      </c>
      <c r="G539" s="13">
        <v>0.50133761369716423</v>
      </c>
      <c r="H539" s="13">
        <v>2.9257929383602632</v>
      </c>
      <c r="I539" s="14">
        <v>8.7887458819381354</v>
      </c>
      <c r="J539" s="16">
        <v>0.69879999999999998</v>
      </c>
      <c r="K539" s="16">
        <v>0.69879999999999998</v>
      </c>
      <c r="L539" s="13">
        <v>0.41920000000000002</v>
      </c>
      <c r="M539" s="13">
        <v>2.8299999999999999E-2</v>
      </c>
      <c r="N539" s="13">
        <v>6.13E-2</v>
      </c>
      <c r="O539" s="13">
        <v>0</v>
      </c>
      <c r="P539" s="16">
        <v>0.43840000000000001</v>
      </c>
      <c r="Q539" s="16">
        <v>0.25980000000000003</v>
      </c>
      <c r="R539" s="16">
        <v>0.26729999999999998</v>
      </c>
      <c r="S539" s="16">
        <f t="shared" si="16"/>
        <v>0.32183333333333336</v>
      </c>
      <c r="T539" s="18">
        <v>0.85061728395061709</v>
      </c>
      <c r="U539" s="1">
        <v>0</v>
      </c>
      <c r="V539" s="1">
        <f t="shared" si="17"/>
        <v>0</v>
      </c>
      <c r="W539" s="25"/>
      <c r="X539">
        <v>8.9599999999999999E-2</v>
      </c>
      <c r="Y539" s="1">
        <v>0.57820000000000005</v>
      </c>
      <c r="Z539" s="1">
        <v>0.45629999999999998</v>
      </c>
      <c r="AA539" s="1">
        <v>12563</v>
      </c>
      <c r="AB539" s="1">
        <v>76</v>
      </c>
      <c r="AC539" s="29">
        <v>1998</v>
      </c>
    </row>
    <row r="540" spans="1:29" ht="25.5">
      <c r="A540" s="12">
        <v>25</v>
      </c>
      <c r="B540" s="12" t="s">
        <v>519</v>
      </c>
      <c r="C540" s="12">
        <v>25662</v>
      </c>
      <c r="D540" s="12" t="s">
        <v>595</v>
      </c>
      <c r="E540" s="17">
        <v>0.88637506284565104</v>
      </c>
      <c r="F540" s="17">
        <v>0.11362493715434892</v>
      </c>
      <c r="G540" s="13">
        <v>0.82029075162387877</v>
      </c>
      <c r="H540" s="13">
        <v>7.7922651933701657</v>
      </c>
      <c r="I540" s="14">
        <v>8.9818073233775344</v>
      </c>
      <c r="J540" s="16">
        <v>0.86060000000000003</v>
      </c>
      <c r="K540" s="16">
        <v>0.86060000000000003</v>
      </c>
      <c r="L540" s="13">
        <v>0.61450000000000005</v>
      </c>
      <c r="M540" s="13">
        <v>1.9E-2</v>
      </c>
      <c r="N540" s="13">
        <v>6.3200000000000006E-2</v>
      </c>
      <c r="O540" s="13">
        <v>3.3700000000000001E-2</v>
      </c>
      <c r="P540" s="16">
        <v>0.55759999999999998</v>
      </c>
      <c r="Q540" s="16">
        <v>0.44359999999999999</v>
      </c>
      <c r="R540" s="16">
        <v>0.4506</v>
      </c>
      <c r="S540" s="16">
        <f t="shared" si="16"/>
        <v>0.48393333333333333</v>
      </c>
      <c r="T540" s="18">
        <v>0.91456736035049202</v>
      </c>
      <c r="U540" s="1">
        <v>23.809523810000002</v>
      </c>
      <c r="V540" s="1">
        <f t="shared" si="17"/>
        <v>3.2112276040491379</v>
      </c>
      <c r="W540" s="26"/>
      <c r="X540">
        <v>6.7699999999999996E-2</v>
      </c>
      <c r="Y540" s="1">
        <v>8.48E-2</v>
      </c>
      <c r="Z540" s="1">
        <v>8.14E-2</v>
      </c>
      <c r="AA540" s="1">
        <v>8423</v>
      </c>
      <c r="AB540" s="1">
        <v>42</v>
      </c>
      <c r="AC540" s="29">
        <v>1402</v>
      </c>
    </row>
    <row r="541" spans="1:29" ht="25.5">
      <c r="A541" s="12">
        <v>25</v>
      </c>
      <c r="B541" s="12" t="s">
        <v>519</v>
      </c>
      <c r="C541" s="12">
        <v>25718</v>
      </c>
      <c r="D541" s="12" t="s">
        <v>596</v>
      </c>
      <c r="E541" s="17">
        <v>0.68475944824492541</v>
      </c>
      <c r="F541" s="17">
        <v>0.31524055175507459</v>
      </c>
      <c r="G541" s="13">
        <v>0.69049094006504563</v>
      </c>
      <c r="H541" s="13">
        <v>2.1714082503556189</v>
      </c>
      <c r="I541" s="14">
        <v>9.0958269851874221</v>
      </c>
      <c r="J541" s="16">
        <v>0.93079999999999996</v>
      </c>
      <c r="K541" s="16">
        <v>0.93079999999999996</v>
      </c>
      <c r="L541" s="13">
        <v>0.56430000000000002</v>
      </c>
      <c r="M541" s="13">
        <v>6.4199999999999993E-2</v>
      </c>
      <c r="N541" s="13">
        <v>0.1017</v>
      </c>
      <c r="O541" s="13">
        <v>2.0199999999999999E-2</v>
      </c>
      <c r="P541" s="16">
        <v>0.46820000000000001</v>
      </c>
      <c r="Q541" s="16">
        <v>0.14180000000000001</v>
      </c>
      <c r="R541" s="16">
        <v>0.17469999999999999</v>
      </c>
      <c r="S541" s="16">
        <f t="shared" si="16"/>
        <v>0.26156666666666667</v>
      </c>
      <c r="T541" s="18">
        <v>0.86720368239355494</v>
      </c>
      <c r="U541" s="1">
        <v>14.925373130000001</v>
      </c>
      <c r="V541" s="1">
        <f t="shared" si="17"/>
        <v>2.7679136316389972</v>
      </c>
      <c r="W541" s="25"/>
      <c r="X541">
        <v>5.8500000000000003E-2</v>
      </c>
      <c r="Y541" s="1">
        <v>0.28100000000000003</v>
      </c>
      <c r="Z541" s="1">
        <v>0.24759999999999999</v>
      </c>
      <c r="AA541" s="1">
        <v>11389</v>
      </c>
      <c r="AB541" s="1">
        <v>67</v>
      </c>
      <c r="AC541" s="29">
        <v>1972</v>
      </c>
    </row>
    <row r="542" spans="1:29" ht="25.5">
      <c r="A542" s="12">
        <v>25</v>
      </c>
      <c r="B542" s="12" t="s">
        <v>519</v>
      </c>
      <c r="C542" s="12">
        <v>25736</v>
      </c>
      <c r="D542" s="12" t="s">
        <v>597</v>
      </c>
      <c r="E542" s="17">
        <v>0.41494611743377985</v>
      </c>
      <c r="F542" s="17">
        <v>0.58505388256622015</v>
      </c>
      <c r="G542" s="13">
        <v>0.71282934884054849</v>
      </c>
      <c r="H542" s="13">
        <v>0.7091222030981067</v>
      </c>
      <c r="I542" s="14">
        <v>9.2033157570392188</v>
      </c>
      <c r="J542" s="16">
        <v>0.99490000000000001</v>
      </c>
      <c r="K542" s="16">
        <v>0.99209999999999998</v>
      </c>
      <c r="L542" s="13">
        <v>0.53149999999999997</v>
      </c>
      <c r="M542" s="13">
        <v>3.3799999999999997E-2</v>
      </c>
      <c r="N542" s="13">
        <v>0.1148</v>
      </c>
      <c r="O542" s="13">
        <v>5.2699999999999997E-2</v>
      </c>
      <c r="P542" s="16">
        <v>0.89269999999999994</v>
      </c>
      <c r="Q542" s="16">
        <v>0.47909999999999997</v>
      </c>
      <c r="R542" s="16">
        <v>0.3367</v>
      </c>
      <c r="S542" s="16">
        <f t="shared" si="16"/>
        <v>0.56950000000000001</v>
      </c>
      <c r="T542" s="18">
        <v>0.832069643358607</v>
      </c>
      <c r="U542" s="1">
        <v>0</v>
      </c>
      <c r="V542" s="1">
        <f t="shared" si="17"/>
        <v>0</v>
      </c>
      <c r="W542" s="26"/>
      <c r="X542">
        <v>0.45760000000000001</v>
      </c>
      <c r="Y542" s="1">
        <v>1.6645000000000001</v>
      </c>
      <c r="Z542" s="1">
        <v>0.98</v>
      </c>
      <c r="AA542" s="1">
        <v>12723</v>
      </c>
      <c r="AB542" s="1">
        <v>133</v>
      </c>
      <c r="AC542" s="29">
        <v>2360</v>
      </c>
    </row>
    <row r="543" spans="1:29" ht="25.5">
      <c r="A543" s="12">
        <v>25</v>
      </c>
      <c r="B543" s="12" t="s">
        <v>519</v>
      </c>
      <c r="C543" s="12">
        <v>25740</v>
      </c>
      <c r="D543" s="12" t="s">
        <v>598</v>
      </c>
      <c r="E543" s="17">
        <v>0.61541385536443982</v>
      </c>
      <c r="F543" s="17">
        <v>0.38458614463556018</v>
      </c>
      <c r="G543" s="13">
        <v>0.51264188629609786</v>
      </c>
      <c r="H543" s="13">
        <v>1.6</v>
      </c>
      <c r="I543" s="14">
        <v>9.9545133111391717</v>
      </c>
      <c r="J543" s="16">
        <v>0.90690000000000004</v>
      </c>
      <c r="K543" s="16">
        <v>0.90610000000000002</v>
      </c>
      <c r="L543" s="13">
        <v>0.53790000000000004</v>
      </c>
      <c r="M543" s="13">
        <v>3.5299999999999998E-2</v>
      </c>
      <c r="N543" s="13">
        <v>0.1047</v>
      </c>
      <c r="O543" s="13">
        <v>8.2000000000000003E-2</v>
      </c>
      <c r="P543" s="16">
        <v>0.9951000000000001</v>
      </c>
      <c r="Q543" s="16">
        <v>0.59329999999999994</v>
      </c>
      <c r="R543" s="16">
        <v>0.66559999999999997</v>
      </c>
      <c r="S543" s="16">
        <f t="shared" si="16"/>
        <v>0.7513333333333333</v>
      </c>
      <c r="T543" s="18">
        <v>1</v>
      </c>
      <c r="U543" s="1">
        <v>6.9204152250000002</v>
      </c>
      <c r="V543" s="1">
        <f t="shared" si="17"/>
        <v>2.0694436318510565</v>
      </c>
      <c r="W543" s="25"/>
      <c r="X543">
        <v>0.45810000000000001</v>
      </c>
      <c r="Y543" s="1">
        <v>2.5167000000000002</v>
      </c>
      <c r="Z543" s="1">
        <v>1.2575000000000001</v>
      </c>
      <c r="AA543" s="1">
        <v>40013</v>
      </c>
      <c r="AB543" s="1">
        <v>289</v>
      </c>
      <c r="AC543" s="29">
        <v>7334</v>
      </c>
    </row>
    <row r="544" spans="1:29" ht="25.5">
      <c r="A544" s="12">
        <v>25</v>
      </c>
      <c r="B544" s="12" t="s">
        <v>519</v>
      </c>
      <c r="C544" s="12">
        <v>25743</v>
      </c>
      <c r="D544" s="12" t="s">
        <v>599</v>
      </c>
      <c r="E544" s="17">
        <v>0.82880128720836688</v>
      </c>
      <c r="F544" s="17">
        <v>0.17119871279163315</v>
      </c>
      <c r="G544" s="13">
        <v>0.71237534864173002</v>
      </c>
      <c r="H544" s="13">
        <v>4.8396492326965239</v>
      </c>
      <c r="I544" s="14">
        <v>9.8333869248566383</v>
      </c>
      <c r="J544" s="16">
        <v>0.80220000000000002</v>
      </c>
      <c r="K544" s="16">
        <v>0.80220000000000002</v>
      </c>
      <c r="L544" s="13">
        <v>0.49230000000000002</v>
      </c>
      <c r="M544" s="13">
        <v>5.4800000000000001E-2</v>
      </c>
      <c r="N544" s="13">
        <v>0.08</v>
      </c>
      <c r="O544" s="13">
        <v>8.9999999999999998E-4</v>
      </c>
      <c r="P544" s="16">
        <v>0</v>
      </c>
      <c r="Q544" s="16">
        <v>0</v>
      </c>
      <c r="R544" s="16">
        <v>0</v>
      </c>
      <c r="S544" s="16">
        <f t="shared" si="16"/>
        <v>0</v>
      </c>
      <c r="T544" s="18">
        <v>0.95974775258285205</v>
      </c>
      <c r="U544" s="1">
        <v>6.7567567569999998</v>
      </c>
      <c r="V544" s="1">
        <f t="shared" si="17"/>
        <v>2.0485643031467555</v>
      </c>
      <c r="W544" s="26"/>
      <c r="X544">
        <v>0.1014</v>
      </c>
      <c r="Y544" s="1">
        <v>1.3615999999999999</v>
      </c>
      <c r="Z544" s="1">
        <v>0.85929999999999995</v>
      </c>
      <c r="AA544" s="1">
        <v>22445</v>
      </c>
      <c r="AB544" s="1">
        <v>148</v>
      </c>
      <c r="AC544" s="29">
        <v>3909</v>
      </c>
    </row>
    <row r="545" spans="1:29" ht="25.5">
      <c r="A545" s="12">
        <v>25</v>
      </c>
      <c r="B545" s="12" t="s">
        <v>519</v>
      </c>
      <c r="C545" s="12">
        <v>25745</v>
      </c>
      <c r="D545" s="12" t="s">
        <v>600</v>
      </c>
      <c r="E545" s="17">
        <v>0.80522622792160659</v>
      </c>
      <c r="F545" s="17">
        <v>0.19465279458020809</v>
      </c>
      <c r="G545" s="13">
        <v>0.52871945759242678</v>
      </c>
      <c r="H545" s="13">
        <v>4.1341614906832298</v>
      </c>
      <c r="I545" s="14">
        <v>9.0200269652526757</v>
      </c>
      <c r="J545" s="16">
        <v>0.70669999999999999</v>
      </c>
      <c r="K545" s="16">
        <v>0.70640000000000003</v>
      </c>
      <c r="L545" s="13">
        <v>0.50480000000000003</v>
      </c>
      <c r="M545" s="13">
        <v>2.92E-2</v>
      </c>
      <c r="N545" s="13">
        <v>7.9200000000000007E-2</v>
      </c>
      <c r="O545" s="13">
        <v>9.5000000000000001E-2</v>
      </c>
      <c r="P545" s="16">
        <v>0.51129999999999998</v>
      </c>
      <c r="Q545" s="16">
        <v>0.41159999999999997</v>
      </c>
      <c r="R545" s="16">
        <v>0.41159999999999997</v>
      </c>
      <c r="S545" s="16">
        <f t="shared" si="16"/>
        <v>0.44483333333333325</v>
      </c>
      <c r="T545" s="18">
        <v>0.978995057660626</v>
      </c>
      <c r="U545" s="1">
        <v>0</v>
      </c>
      <c r="V545" s="1">
        <f t="shared" si="17"/>
        <v>0</v>
      </c>
      <c r="W545" s="25"/>
      <c r="X545">
        <v>8.4400000000000003E-2</v>
      </c>
      <c r="Y545" s="1">
        <v>0.97409999999999997</v>
      </c>
      <c r="Z545" s="1">
        <v>0.68010000000000004</v>
      </c>
      <c r="AA545" s="1">
        <v>14289</v>
      </c>
      <c r="AB545" s="1">
        <v>102</v>
      </c>
      <c r="AC545" s="29">
        <v>2880</v>
      </c>
    </row>
    <row r="546" spans="1:29" ht="25.5">
      <c r="A546" s="12">
        <v>25</v>
      </c>
      <c r="B546" s="12" t="s">
        <v>519</v>
      </c>
      <c r="C546" s="12">
        <v>25754</v>
      </c>
      <c r="D546" s="12" t="s">
        <v>601</v>
      </c>
      <c r="E546" s="17">
        <v>0.34757045230196337</v>
      </c>
      <c r="F546" s="17">
        <v>0.65242954769803663</v>
      </c>
      <c r="G546" s="13">
        <v>0.71744353199305921</v>
      </c>
      <c r="H546" s="13">
        <v>0.53273113173800257</v>
      </c>
      <c r="I546" s="14">
        <v>13.268093561298299</v>
      </c>
      <c r="J546" s="16">
        <v>0.83340000000000003</v>
      </c>
      <c r="K546" s="16">
        <v>0.83279999999999998</v>
      </c>
      <c r="L546" s="13">
        <v>0.54220000000000002</v>
      </c>
      <c r="M546" s="13">
        <v>4.0399999999999998E-2</v>
      </c>
      <c r="N546" s="13">
        <v>6.7400000000000002E-2</v>
      </c>
      <c r="O546" s="13">
        <v>5.1200000000000002E-2</v>
      </c>
      <c r="P546" s="16">
        <v>0.50790000000000002</v>
      </c>
      <c r="Q546" s="16">
        <v>0.34090000000000004</v>
      </c>
      <c r="R546" s="16">
        <v>0.89529999999999998</v>
      </c>
      <c r="S546" s="16">
        <f t="shared" si="16"/>
        <v>0.5813666666666667</v>
      </c>
      <c r="T546" s="18">
        <v>0.76223776223776196</v>
      </c>
      <c r="U546" s="1">
        <v>11.209636939999999</v>
      </c>
      <c r="V546" s="1">
        <f t="shared" si="17"/>
        <v>2.5022255530367952</v>
      </c>
      <c r="W546" s="26"/>
      <c r="X546">
        <v>9.4700000000000006E-2</v>
      </c>
      <c r="Y546" s="1">
        <v>12.8904</v>
      </c>
      <c r="Z546" s="1">
        <v>2.6312000000000002</v>
      </c>
      <c r="AA546" s="1">
        <v>842579</v>
      </c>
      <c r="AB546" s="1">
        <v>5977</v>
      </c>
      <c r="AC546" s="29">
        <v>161953</v>
      </c>
    </row>
    <row r="547" spans="1:29" ht="25.5">
      <c r="A547" s="12">
        <v>25</v>
      </c>
      <c r="B547" s="12" t="s">
        <v>519</v>
      </c>
      <c r="C547" s="12">
        <v>25758</v>
      </c>
      <c r="D547" s="12" t="s">
        <v>602</v>
      </c>
      <c r="E547" s="17">
        <v>0.19406935534520658</v>
      </c>
      <c r="F547" s="17">
        <v>0.80593064465479336</v>
      </c>
      <c r="G547" s="13">
        <v>0.70152635719905587</v>
      </c>
      <c r="H547" s="13">
        <v>0.24078815540465323</v>
      </c>
      <c r="I547" s="14">
        <v>10.011983148689428</v>
      </c>
      <c r="J547" s="16">
        <v>0.94289999999999996</v>
      </c>
      <c r="K547" s="16">
        <v>0.93379999999999996</v>
      </c>
      <c r="L547" s="13">
        <v>0.58819999999999995</v>
      </c>
      <c r="M547" s="13">
        <v>2.7799999999999998E-2</v>
      </c>
      <c r="N547" s="13">
        <v>6.0499999999999998E-2</v>
      </c>
      <c r="O547" s="13">
        <v>4.9500000000000002E-2</v>
      </c>
      <c r="P547" s="16">
        <v>0.99170000000000003</v>
      </c>
      <c r="Q547" s="16">
        <v>0.67559999999999998</v>
      </c>
      <c r="R547" s="16">
        <v>0.81159999999999999</v>
      </c>
      <c r="S547" s="16">
        <f t="shared" si="16"/>
        <v>0.82629999999999992</v>
      </c>
      <c r="T547" s="18">
        <v>1</v>
      </c>
      <c r="U547" s="1">
        <v>15.95744681</v>
      </c>
      <c r="V547" s="1">
        <f t="shared" si="17"/>
        <v>2.8307070771679856</v>
      </c>
      <c r="W547" s="25"/>
      <c r="X547">
        <v>0.99170000000000003</v>
      </c>
      <c r="Y547" s="1">
        <v>4.6466000000000003</v>
      </c>
      <c r="Z547" s="1">
        <v>1.7311000000000001</v>
      </c>
      <c r="AA547" s="1">
        <v>32937</v>
      </c>
      <c r="AB547" s="1">
        <v>188</v>
      </c>
      <c r="AC547" s="29">
        <v>5788</v>
      </c>
    </row>
    <row r="548" spans="1:29" ht="25.5">
      <c r="A548" s="12">
        <v>25</v>
      </c>
      <c r="B548" s="12" t="s">
        <v>519</v>
      </c>
      <c r="C548" s="12">
        <v>25769</v>
      </c>
      <c r="D548" s="12" t="s">
        <v>603</v>
      </c>
      <c r="E548" s="17">
        <v>0.47316448751942947</v>
      </c>
      <c r="F548" s="17">
        <v>0.52683551248057059</v>
      </c>
      <c r="G548" s="13">
        <v>0.60545837023914972</v>
      </c>
      <c r="H548" s="13">
        <v>0.89796980739198329</v>
      </c>
      <c r="I548" s="14">
        <v>9.2999982439067175</v>
      </c>
      <c r="J548" s="16">
        <v>1.2058</v>
      </c>
      <c r="K548" s="16">
        <v>1.1939</v>
      </c>
      <c r="L548" s="13">
        <v>0.86209999999999998</v>
      </c>
      <c r="M548" s="13">
        <v>2.1000000000000001E-2</v>
      </c>
      <c r="N548" s="13">
        <v>6.5100000000000005E-2</v>
      </c>
      <c r="O548" s="13">
        <v>5.5399999999999998E-2</v>
      </c>
      <c r="P548" s="16">
        <v>1</v>
      </c>
      <c r="Q548" s="16">
        <v>0.97430000000000005</v>
      </c>
      <c r="R548" s="16">
        <v>0.97540000000000004</v>
      </c>
      <c r="S548" s="16">
        <f t="shared" si="16"/>
        <v>0.98323333333333329</v>
      </c>
      <c r="T548" s="18">
        <v>0.97607904316172589</v>
      </c>
      <c r="U548" s="1">
        <v>15.7480315</v>
      </c>
      <c r="V548" s="1">
        <f t="shared" si="17"/>
        <v>2.8182807289767187</v>
      </c>
      <c r="W548" s="26"/>
      <c r="X548">
        <v>0.16289999999999999</v>
      </c>
      <c r="Y548" s="1">
        <v>0.70989999999999998</v>
      </c>
      <c r="Z548" s="1">
        <v>0.53639999999999999</v>
      </c>
      <c r="AA548" s="1">
        <v>17703</v>
      </c>
      <c r="AB548" s="1">
        <v>127</v>
      </c>
      <c r="AC548" s="29">
        <v>3010</v>
      </c>
    </row>
    <row r="549" spans="1:29" ht="25.5">
      <c r="A549" s="12">
        <v>25</v>
      </c>
      <c r="B549" s="12" t="s">
        <v>519</v>
      </c>
      <c r="C549" s="12">
        <v>25772</v>
      </c>
      <c r="D549" s="12" t="s">
        <v>604</v>
      </c>
      <c r="E549" s="17">
        <v>0.341939669153422</v>
      </c>
      <c r="F549" s="17">
        <v>0.658060330846578</v>
      </c>
      <c r="G549" s="13">
        <v>0.74253371868978801</v>
      </c>
      <c r="H549" s="13">
        <v>0.51956628881222278</v>
      </c>
      <c r="I549" s="14">
        <v>9.6431612100942026</v>
      </c>
      <c r="J549" s="16">
        <v>0.69369999999999998</v>
      </c>
      <c r="K549" s="16">
        <v>0.69369999999999998</v>
      </c>
      <c r="L549" s="13">
        <v>0.33929999999999999</v>
      </c>
      <c r="M549" s="13">
        <v>4.3200000000000002E-2</v>
      </c>
      <c r="N549" s="13">
        <v>9.11E-2</v>
      </c>
      <c r="O549" s="13">
        <v>6.4199999999999993E-2</v>
      </c>
      <c r="P549" s="16">
        <v>1</v>
      </c>
      <c r="Q549" s="16">
        <v>0.67430000000000012</v>
      </c>
      <c r="R549" s="16">
        <v>0.56200000000000006</v>
      </c>
      <c r="S549" s="16">
        <f t="shared" si="16"/>
        <v>0.74543333333333328</v>
      </c>
      <c r="T549" s="18">
        <v>0.74059061957151107</v>
      </c>
      <c r="U549" s="1">
        <v>11.976047899999999</v>
      </c>
      <c r="V549" s="1">
        <f t="shared" si="17"/>
        <v>2.5631051887965768</v>
      </c>
      <c r="W549" s="25"/>
      <c r="X549">
        <v>7.9000000000000001E-2</v>
      </c>
      <c r="Y549" s="1">
        <v>0.80569999999999997</v>
      </c>
      <c r="Z549" s="1">
        <v>0.59089999999999998</v>
      </c>
      <c r="AA549" s="1">
        <v>19171</v>
      </c>
      <c r="AB549" s="1">
        <v>167</v>
      </c>
      <c r="AC549" s="29">
        <v>3677</v>
      </c>
    </row>
    <row r="550" spans="1:29" ht="25.5">
      <c r="A550" s="12">
        <v>25</v>
      </c>
      <c r="B550" s="12" t="s">
        <v>519</v>
      </c>
      <c r="C550" s="12">
        <v>25777</v>
      </c>
      <c r="D550" s="12" t="s">
        <v>605</v>
      </c>
      <c r="E550" s="17">
        <v>0.85370684776457273</v>
      </c>
      <c r="F550" s="17">
        <v>0.14629315223542727</v>
      </c>
      <c r="G550" s="13">
        <v>0.56716417910447758</v>
      </c>
      <c r="H550" s="13">
        <v>5.8243243243243246</v>
      </c>
      <c r="I550" s="14">
        <v>8.1704685783306736</v>
      </c>
      <c r="J550" s="16">
        <v>0.81079999999999997</v>
      </c>
      <c r="K550" s="16">
        <v>0.81079999999999997</v>
      </c>
      <c r="L550" s="13">
        <v>0.57399999999999995</v>
      </c>
      <c r="M550" s="13">
        <v>3.0499999999999999E-2</v>
      </c>
      <c r="N550" s="13">
        <v>5.3999999999999999E-2</v>
      </c>
      <c r="O550" s="13">
        <v>1.6400000000000001E-2</v>
      </c>
      <c r="P550" s="16">
        <v>0.3644</v>
      </c>
      <c r="Q550" s="16">
        <v>0.15579999999999999</v>
      </c>
      <c r="R550" s="16">
        <v>0.15439999999999998</v>
      </c>
      <c r="S550" s="16">
        <f t="shared" si="16"/>
        <v>0.22486666666666666</v>
      </c>
      <c r="T550" s="18">
        <v>0.84758028041610101</v>
      </c>
      <c r="U550" s="1">
        <v>0</v>
      </c>
      <c r="V550" s="1">
        <f t="shared" si="17"/>
        <v>0</v>
      </c>
      <c r="W550" s="26"/>
      <c r="X550">
        <v>3.7400000000000003E-2</v>
      </c>
      <c r="Y550" s="1">
        <v>0.1103</v>
      </c>
      <c r="Z550" s="1">
        <v>0.1046</v>
      </c>
      <c r="AA550" s="1">
        <v>5529</v>
      </c>
      <c r="AB550" s="1">
        <v>32</v>
      </c>
      <c r="AC550" s="29">
        <v>900</v>
      </c>
    </row>
    <row r="551" spans="1:29" ht="25.5">
      <c r="A551" s="12">
        <v>25</v>
      </c>
      <c r="B551" s="12" t="s">
        <v>519</v>
      </c>
      <c r="C551" s="12">
        <v>25779</v>
      </c>
      <c r="D551" s="12" t="s">
        <v>606</v>
      </c>
      <c r="E551" s="17">
        <v>0.85970899946111012</v>
      </c>
      <c r="F551" s="17">
        <v>0.14029100053888988</v>
      </c>
      <c r="G551" s="13">
        <v>0.71887913223140498</v>
      </c>
      <c r="H551" s="13">
        <v>6.1202046035805626</v>
      </c>
      <c r="I551" s="14">
        <v>8.6247912020142561</v>
      </c>
      <c r="J551" s="16">
        <v>0.58009999999999995</v>
      </c>
      <c r="K551" s="16">
        <v>0.58009999999999995</v>
      </c>
      <c r="L551" s="13">
        <v>0.45229999999999998</v>
      </c>
      <c r="M551" s="13">
        <v>1.7100000000000001E-2</v>
      </c>
      <c r="N551" s="13">
        <v>5.4699999999999999E-2</v>
      </c>
      <c r="O551" s="13">
        <v>0</v>
      </c>
      <c r="P551" s="16">
        <v>0.66390000000000005</v>
      </c>
      <c r="Q551" s="16">
        <v>0.34289999999999998</v>
      </c>
      <c r="R551" s="16">
        <v>0.34869999999999995</v>
      </c>
      <c r="S551" s="16">
        <f t="shared" si="16"/>
        <v>0.45183333333333336</v>
      </c>
      <c r="T551" s="18">
        <v>0.76636613092904693</v>
      </c>
      <c r="U551" s="1">
        <v>16.666666670000001</v>
      </c>
      <c r="V551" s="1">
        <f t="shared" si="17"/>
        <v>2.8716796250726913</v>
      </c>
      <c r="W551" s="25"/>
      <c r="X551">
        <v>3.6600000000000001E-2</v>
      </c>
      <c r="Y551" s="1">
        <v>0.55500000000000005</v>
      </c>
      <c r="Z551" s="1">
        <v>0.4415</v>
      </c>
      <c r="AA551" s="1">
        <v>6595</v>
      </c>
      <c r="AB551" s="1">
        <v>60</v>
      </c>
      <c r="AC551" s="29">
        <v>1296</v>
      </c>
    </row>
    <row r="552" spans="1:29" ht="25.5">
      <c r="A552" s="12">
        <v>25</v>
      </c>
      <c r="B552" s="12" t="s">
        <v>519</v>
      </c>
      <c r="C552" s="12">
        <v>25781</v>
      </c>
      <c r="D552" s="12" t="s">
        <v>607</v>
      </c>
      <c r="E552" s="17">
        <v>0.50078988941548186</v>
      </c>
      <c r="F552" s="17">
        <v>0.49921011058451814</v>
      </c>
      <c r="G552" s="13">
        <v>0.53022476615943037</v>
      </c>
      <c r="H552" s="13">
        <v>1.0026357406431208</v>
      </c>
      <c r="I552" s="14">
        <v>8.2424931531876258</v>
      </c>
      <c r="J552" s="16">
        <v>0.78210000000000002</v>
      </c>
      <c r="K552" s="16">
        <v>0.78210000000000002</v>
      </c>
      <c r="L552" s="13">
        <v>0.37559999999999999</v>
      </c>
      <c r="M552" s="13">
        <v>2.7900000000000001E-2</v>
      </c>
      <c r="N552" s="13">
        <v>9.7900000000000001E-2</v>
      </c>
      <c r="O552" s="13">
        <v>0.12939999999999999</v>
      </c>
      <c r="P552" s="16">
        <v>0.99390000000000001</v>
      </c>
      <c r="Q552" s="16">
        <v>0.26649999999999996</v>
      </c>
      <c r="R552" s="16">
        <v>0.375</v>
      </c>
      <c r="S552" s="16">
        <f t="shared" si="16"/>
        <v>0.54513333333333336</v>
      </c>
      <c r="T552" s="18">
        <v>0.89623988576868097</v>
      </c>
      <c r="U552" s="1">
        <v>14.925373130000001</v>
      </c>
      <c r="V552" s="1">
        <f t="shared" si="17"/>
        <v>2.7679136316389972</v>
      </c>
      <c r="W552" s="26"/>
      <c r="X552">
        <v>0.13220000000000001</v>
      </c>
      <c r="Y552" s="1">
        <v>1.2462</v>
      </c>
      <c r="Z552" s="1">
        <v>0.80920000000000003</v>
      </c>
      <c r="AA552" s="1">
        <v>6727</v>
      </c>
      <c r="AB552" s="1">
        <v>67</v>
      </c>
      <c r="AC552" s="29">
        <v>1374</v>
      </c>
    </row>
    <row r="553" spans="1:29" ht="25.5">
      <c r="A553" s="12">
        <v>25</v>
      </c>
      <c r="B553" s="12" t="s">
        <v>519</v>
      </c>
      <c r="C553" s="12">
        <v>25785</v>
      </c>
      <c r="D553" s="12" t="s">
        <v>608</v>
      </c>
      <c r="E553" s="17">
        <v>0.35160998318893055</v>
      </c>
      <c r="F553" s="17">
        <v>0.64839001681106945</v>
      </c>
      <c r="G553" s="13">
        <v>0.58351254480286741</v>
      </c>
      <c r="H553" s="13">
        <v>0.54222754013361252</v>
      </c>
      <c r="I553" s="14">
        <v>9.6464640010381402</v>
      </c>
      <c r="J553" s="16">
        <v>1.0738000000000001</v>
      </c>
      <c r="K553" s="16">
        <v>1.0701000000000001</v>
      </c>
      <c r="L553" s="13">
        <v>0.72019999999999995</v>
      </c>
      <c r="M553" s="13">
        <v>2.3699999999999999E-2</v>
      </c>
      <c r="N553" s="13">
        <v>5.6099999999999997E-2</v>
      </c>
      <c r="O553" s="13">
        <v>4.58E-2</v>
      </c>
      <c r="P553" s="16">
        <v>1</v>
      </c>
      <c r="Q553" s="16">
        <v>0.74120000000000008</v>
      </c>
      <c r="R553" s="16">
        <v>0.95150000000000001</v>
      </c>
      <c r="S553" s="16">
        <f t="shared" si="16"/>
        <v>0.89756666666666673</v>
      </c>
      <c r="T553" s="18">
        <v>0.95815501664289104</v>
      </c>
      <c r="U553" s="1">
        <v>4.1493775929999996</v>
      </c>
      <c r="V553" s="1">
        <f t="shared" si="17"/>
        <v>1.6388758516438473</v>
      </c>
      <c r="W553" s="25"/>
      <c r="X553">
        <v>7.5600000000000001E-2</v>
      </c>
      <c r="Y553" s="1">
        <v>3.6183999999999998</v>
      </c>
      <c r="Z553" s="1">
        <v>1.53</v>
      </c>
      <c r="AA553" s="1">
        <v>22884</v>
      </c>
      <c r="AB553" s="1">
        <v>241</v>
      </c>
      <c r="AC553" s="29">
        <v>3851</v>
      </c>
    </row>
    <row r="554" spans="1:29" ht="25.5">
      <c r="A554" s="12">
        <v>25</v>
      </c>
      <c r="B554" s="12" t="s">
        <v>519</v>
      </c>
      <c r="C554" s="12">
        <v>25793</v>
      </c>
      <c r="D554" s="12" t="s">
        <v>609</v>
      </c>
      <c r="E554" s="17">
        <v>0.56916285153695223</v>
      </c>
      <c r="F554" s="17">
        <v>0.43083714846304777</v>
      </c>
      <c r="G554" s="13">
        <v>0.62980125630728045</v>
      </c>
      <c r="H554" s="13">
        <v>1.3205614567526556</v>
      </c>
      <c r="I554" s="14">
        <v>8.7188270592425656</v>
      </c>
      <c r="J554" s="16">
        <v>0.9163</v>
      </c>
      <c r="K554" s="16">
        <v>0.9163</v>
      </c>
      <c r="L554" s="13">
        <v>0.56210000000000004</v>
      </c>
      <c r="M554" s="13">
        <v>2.3099999999999999E-2</v>
      </c>
      <c r="N554" s="13">
        <v>7.5200000000000003E-2</v>
      </c>
      <c r="O554" s="13">
        <v>1.8700000000000001E-2</v>
      </c>
      <c r="P554" s="16">
        <v>0.90700000000000003</v>
      </c>
      <c r="Q554" s="16">
        <v>0.23929999999999998</v>
      </c>
      <c r="R554" s="16">
        <v>0.21940000000000001</v>
      </c>
      <c r="S554" s="16">
        <f t="shared" si="16"/>
        <v>0.45523333333333338</v>
      </c>
      <c r="T554" s="18">
        <v>1</v>
      </c>
      <c r="U554" s="1">
        <v>25.316455699999999</v>
      </c>
      <c r="V554" s="1">
        <f t="shared" si="17"/>
        <v>3.2701944355352914</v>
      </c>
      <c r="W554" s="26"/>
      <c r="X554">
        <v>0.2349</v>
      </c>
      <c r="Y554" s="1">
        <v>0.49669999999999997</v>
      </c>
      <c r="Z554" s="1">
        <v>0.40329999999999999</v>
      </c>
      <c r="AA554" s="1">
        <v>8560</v>
      </c>
      <c r="AB554" s="1">
        <v>79</v>
      </c>
      <c r="AC554" s="29">
        <v>1727</v>
      </c>
    </row>
    <row r="555" spans="1:29" ht="25.5">
      <c r="A555" s="12">
        <v>25</v>
      </c>
      <c r="B555" s="12" t="s">
        <v>519</v>
      </c>
      <c r="C555" s="12">
        <v>25797</v>
      </c>
      <c r="D555" s="12" t="s">
        <v>610</v>
      </c>
      <c r="E555" s="17">
        <v>0.82579230615905919</v>
      </c>
      <c r="F555" s="17">
        <v>0.17420769384094081</v>
      </c>
      <c r="G555" s="13">
        <v>0.43313476646809979</v>
      </c>
      <c r="H555" s="13">
        <v>4.7348571428571429</v>
      </c>
      <c r="I555" s="14">
        <v>8.5207867269263673</v>
      </c>
      <c r="J555" s="16">
        <v>0.78790000000000004</v>
      </c>
      <c r="K555" s="16">
        <v>0.78739999999999999</v>
      </c>
      <c r="L555" s="13">
        <v>0.375</v>
      </c>
      <c r="M555" s="13">
        <v>4.5499999999999999E-2</v>
      </c>
      <c r="N555" s="13">
        <v>0.1371</v>
      </c>
      <c r="O555" s="13">
        <v>7.4200000000000002E-2</v>
      </c>
      <c r="P555" s="16">
        <v>0.54949999999999999</v>
      </c>
      <c r="Q555" s="16">
        <v>0.13739999999999999</v>
      </c>
      <c r="R555" s="16">
        <v>0.35619999999999996</v>
      </c>
      <c r="S555" s="16">
        <f t="shared" si="16"/>
        <v>0.34769999999999995</v>
      </c>
      <c r="T555" s="18">
        <v>0.94706213628684</v>
      </c>
      <c r="U555" s="1">
        <v>0</v>
      </c>
      <c r="V555" s="1">
        <f t="shared" si="17"/>
        <v>0</v>
      </c>
      <c r="W555" s="25"/>
      <c r="X555">
        <v>4.7500000000000001E-2</v>
      </c>
      <c r="Y555" s="1">
        <v>1.5094000000000001</v>
      </c>
      <c r="Z555" s="1">
        <v>0.92</v>
      </c>
      <c r="AA555" s="1">
        <v>11062</v>
      </c>
      <c r="AB555" s="1">
        <v>53</v>
      </c>
      <c r="AC555" s="29">
        <v>1805</v>
      </c>
    </row>
    <row r="556" spans="1:29" ht="25.5">
      <c r="A556" s="12">
        <v>25</v>
      </c>
      <c r="B556" s="12" t="s">
        <v>519</v>
      </c>
      <c r="C556" s="12">
        <v>25799</v>
      </c>
      <c r="D556" s="12" t="s">
        <v>611</v>
      </c>
      <c r="E556" s="17">
        <v>0.30916275096112772</v>
      </c>
      <c r="F556" s="17">
        <v>0.69083724903887223</v>
      </c>
      <c r="G556" s="13">
        <v>0.69792054855779984</v>
      </c>
      <c r="H556" s="13">
        <v>0.44748434964062139</v>
      </c>
      <c r="I556" s="14">
        <v>9.8378284037298531</v>
      </c>
      <c r="J556" s="16">
        <v>1.3169</v>
      </c>
      <c r="K556" s="16">
        <v>1.3140000000000001</v>
      </c>
      <c r="L556" s="13">
        <v>0.97009999999999996</v>
      </c>
      <c r="M556" s="13">
        <v>2.7900000000000001E-2</v>
      </c>
      <c r="N556" s="13">
        <v>0.1109</v>
      </c>
      <c r="O556" s="13">
        <v>3.5200000000000002E-2</v>
      </c>
      <c r="P556" s="16">
        <v>1</v>
      </c>
      <c r="Q556" s="16">
        <v>0.52280000000000004</v>
      </c>
      <c r="R556" s="16">
        <v>0.95169999999999999</v>
      </c>
      <c r="S556" s="16">
        <f t="shared" si="16"/>
        <v>0.82483333333333331</v>
      </c>
      <c r="T556" s="18">
        <v>1</v>
      </c>
      <c r="U556" s="1">
        <v>12.55230126</v>
      </c>
      <c r="V556" s="1">
        <f t="shared" si="17"/>
        <v>2.6065563675917791</v>
      </c>
      <c r="W556" s="26"/>
      <c r="X556" s="28">
        <v>23936</v>
      </c>
      <c r="Y556" s="1">
        <v>6.3795999999999999</v>
      </c>
      <c r="Z556" s="1">
        <v>1.9986999999999999</v>
      </c>
      <c r="AA556" s="1">
        <v>24623</v>
      </c>
      <c r="AB556" s="1">
        <v>239</v>
      </c>
      <c r="AC556" s="29">
        <v>4220</v>
      </c>
    </row>
    <row r="557" spans="1:29" ht="25.5">
      <c r="A557" s="12">
        <v>25</v>
      </c>
      <c r="B557" s="12" t="s">
        <v>519</v>
      </c>
      <c r="C557" s="12">
        <v>25805</v>
      </c>
      <c r="D557" s="12" t="s">
        <v>612</v>
      </c>
      <c r="E557" s="17">
        <v>0.89975845410628019</v>
      </c>
      <c r="F557" s="17">
        <v>0.10024154589371981</v>
      </c>
      <c r="G557" s="13">
        <v>0.63975275255939734</v>
      </c>
      <c r="H557" s="13">
        <v>8.9489489489489493</v>
      </c>
      <c r="I557" s="14">
        <v>8.1056094022998959</v>
      </c>
      <c r="J557" s="16">
        <v>0.75109999999999999</v>
      </c>
      <c r="K557" s="16">
        <v>0.75109999999999999</v>
      </c>
      <c r="L557" s="13">
        <v>0.36430000000000001</v>
      </c>
      <c r="M557" s="13">
        <v>4.3400000000000001E-2</v>
      </c>
      <c r="N557" s="13">
        <v>0.1071</v>
      </c>
      <c r="O557" s="13">
        <v>1.4E-3</v>
      </c>
      <c r="P557" s="16">
        <v>0.63819999999999999</v>
      </c>
      <c r="Q557" s="16">
        <v>0.1547</v>
      </c>
      <c r="R557" s="16">
        <v>0.18350000000000002</v>
      </c>
      <c r="S557" s="16">
        <f t="shared" si="16"/>
        <v>0.32546666666666663</v>
      </c>
      <c r="T557" s="18">
        <v>0.84020146520146499</v>
      </c>
      <c r="U557" s="1">
        <v>0</v>
      </c>
      <c r="V557" s="1">
        <f t="shared" si="17"/>
        <v>0</v>
      </c>
      <c r="W557" s="25"/>
      <c r="X557">
        <v>3.2199999999999999E-2</v>
      </c>
      <c r="Y557" s="1">
        <v>0.34460000000000002</v>
      </c>
      <c r="Z557" s="1">
        <v>0.29609999999999997</v>
      </c>
      <c r="AA557" s="1">
        <v>4276</v>
      </c>
      <c r="AB557" s="1">
        <v>13</v>
      </c>
      <c r="AC557" s="29">
        <v>732</v>
      </c>
    </row>
    <row r="558" spans="1:29" ht="25.5">
      <c r="A558" s="12">
        <v>25</v>
      </c>
      <c r="B558" s="12" t="s">
        <v>519</v>
      </c>
      <c r="C558" s="12">
        <v>25807</v>
      </c>
      <c r="D558" s="12" t="s">
        <v>613</v>
      </c>
      <c r="E558" s="17">
        <v>0.96762425900592797</v>
      </c>
      <c r="F558" s="17">
        <v>3.2375740994072047E-2</v>
      </c>
      <c r="G558" s="13">
        <v>0.58605024051309462</v>
      </c>
      <c r="H558" s="13">
        <v>29.472222222222221</v>
      </c>
      <c r="I558" s="14">
        <v>7.6934816408351754</v>
      </c>
      <c r="J558" s="16">
        <v>0.68840000000000001</v>
      </c>
      <c r="K558" s="16">
        <v>0.68840000000000001</v>
      </c>
      <c r="L558" s="13">
        <v>0.58540000000000003</v>
      </c>
      <c r="M558" s="13">
        <v>1.41E-2</v>
      </c>
      <c r="N558" s="13">
        <v>3.6600000000000001E-2</v>
      </c>
      <c r="O558" s="13">
        <v>7.0400000000000004E-2</v>
      </c>
      <c r="P558" s="16">
        <v>0.31940000000000002</v>
      </c>
      <c r="Q558" s="16">
        <v>0.14130000000000001</v>
      </c>
      <c r="R558" s="16">
        <v>0.14130000000000001</v>
      </c>
      <c r="S558" s="16">
        <f t="shared" si="16"/>
        <v>0.20066666666666666</v>
      </c>
      <c r="T558" s="18">
        <v>0.66838407494145202</v>
      </c>
      <c r="U558" s="1">
        <v>0</v>
      </c>
      <c r="V558" s="1">
        <f t="shared" si="17"/>
        <v>0</v>
      </c>
      <c r="W558" s="26"/>
      <c r="X558">
        <v>9.9199999999999997E-2</v>
      </c>
      <c r="Y558" s="1">
        <v>0.19700000000000001</v>
      </c>
      <c r="Z558" s="1">
        <v>0.1799</v>
      </c>
      <c r="AA558" s="1">
        <v>3346</v>
      </c>
      <c r="AB558" s="1">
        <v>9</v>
      </c>
      <c r="AC558" s="29">
        <v>433</v>
      </c>
    </row>
    <row r="559" spans="1:29" ht="25.5">
      <c r="A559" s="12">
        <v>25</v>
      </c>
      <c r="B559" s="12" t="s">
        <v>519</v>
      </c>
      <c r="C559" s="12">
        <v>25815</v>
      </c>
      <c r="D559" s="12" t="s">
        <v>614</v>
      </c>
      <c r="E559" s="17">
        <v>0.79080932784636493</v>
      </c>
      <c r="F559" s="17">
        <v>0.20919067215363513</v>
      </c>
      <c r="G559" s="13">
        <v>0.6948371723590151</v>
      </c>
      <c r="H559" s="13">
        <v>3.7789512017479971</v>
      </c>
      <c r="I559" s="14">
        <v>9.4821216948962874</v>
      </c>
      <c r="J559" s="16">
        <v>0.67600000000000005</v>
      </c>
      <c r="K559" s="16">
        <v>0.67530000000000001</v>
      </c>
      <c r="L559" s="13">
        <v>0.2868</v>
      </c>
      <c r="M559" s="13">
        <v>6.4399999999999999E-2</v>
      </c>
      <c r="N559" s="13">
        <v>0.1115</v>
      </c>
      <c r="O559" s="13">
        <v>4.3999999999999997E-2</v>
      </c>
      <c r="P559" s="16">
        <v>0.50850000000000006</v>
      </c>
      <c r="Q559" s="16">
        <v>0.50850000000000006</v>
      </c>
      <c r="R559" s="16">
        <v>0.50850000000000006</v>
      </c>
      <c r="S559" s="16">
        <f t="shared" si="16"/>
        <v>0.50850000000000006</v>
      </c>
      <c r="T559" s="18">
        <v>0.78465415849901898</v>
      </c>
      <c r="U559" s="1">
        <v>10.989010990000001</v>
      </c>
      <c r="V559" s="1">
        <f t="shared" si="17"/>
        <v>2.483990479398714</v>
      </c>
      <c r="W559" s="25"/>
      <c r="X559">
        <v>8.9099999999999999E-2</v>
      </c>
      <c r="Y559" s="1">
        <v>0.41589999999999999</v>
      </c>
      <c r="Z559" s="1">
        <v>0.34770000000000001</v>
      </c>
      <c r="AA559" s="1">
        <v>16059</v>
      </c>
      <c r="AB559" s="1">
        <v>91</v>
      </c>
      <c r="AC559" s="29">
        <v>2510</v>
      </c>
    </row>
    <row r="560" spans="1:29" ht="25.5">
      <c r="A560" s="12">
        <v>25</v>
      </c>
      <c r="B560" s="12" t="s">
        <v>519</v>
      </c>
      <c r="C560" s="12">
        <v>25817</v>
      </c>
      <c r="D560" s="12" t="s">
        <v>615</v>
      </c>
      <c r="E560" s="17">
        <v>0.20247065642660483</v>
      </c>
      <c r="F560" s="17">
        <v>0.79752934357339511</v>
      </c>
      <c r="G560" s="13">
        <v>1</v>
      </c>
      <c r="H560" s="13">
        <v>0.25386659399059752</v>
      </c>
      <c r="I560" s="14">
        <v>10.918881262453304</v>
      </c>
      <c r="J560" s="16">
        <v>1.1151</v>
      </c>
      <c r="K560" s="16">
        <v>1.1133</v>
      </c>
      <c r="L560" s="13">
        <v>0.66039999999999999</v>
      </c>
      <c r="M560" s="13">
        <v>3.4500000000000003E-2</v>
      </c>
      <c r="N560" s="13">
        <v>0.11070000000000001</v>
      </c>
      <c r="O560" s="13">
        <v>6.7000000000000004E-2</v>
      </c>
      <c r="P560" s="16">
        <v>0.98640000000000005</v>
      </c>
      <c r="Q560" s="16">
        <v>0.98560000000000003</v>
      </c>
      <c r="R560" s="16">
        <v>0.98620000000000008</v>
      </c>
      <c r="S560" s="16">
        <f t="shared" si="16"/>
        <v>0.98606666666666676</v>
      </c>
      <c r="T560" s="18">
        <v>1</v>
      </c>
      <c r="U560" s="1">
        <v>8.7719298250000008</v>
      </c>
      <c r="V560" s="1">
        <f t="shared" si="17"/>
        <v>2.2795139721376172</v>
      </c>
      <c r="W560" s="26"/>
      <c r="X560" s="28">
        <v>21568</v>
      </c>
      <c r="Y560" s="1">
        <v>11.604100000000001</v>
      </c>
      <c r="Z560" s="1">
        <v>2.5339999999999998</v>
      </c>
      <c r="AA560" s="1">
        <v>48367</v>
      </c>
      <c r="AB560" s="1">
        <v>684</v>
      </c>
      <c r="AC560" s="29">
        <v>9205</v>
      </c>
    </row>
    <row r="561" spans="1:29" ht="25.5">
      <c r="A561" s="12">
        <v>25</v>
      </c>
      <c r="B561" s="12" t="s">
        <v>519</v>
      </c>
      <c r="C561" s="12">
        <v>25823</v>
      </c>
      <c r="D561" s="12" t="s">
        <v>616</v>
      </c>
      <c r="E561" s="17">
        <v>0.91955098222637977</v>
      </c>
      <c r="F561" s="17">
        <v>8.0449017773620207E-2</v>
      </c>
      <c r="G561" s="13">
        <v>0.66137347906784905</v>
      </c>
      <c r="H561" s="13">
        <v>11.386100386100386</v>
      </c>
      <c r="I561" s="14">
        <v>8.0734029689864055</v>
      </c>
      <c r="J561" s="16">
        <v>0.67649999999999999</v>
      </c>
      <c r="K561" s="16">
        <v>0.67649999999999999</v>
      </c>
      <c r="L561" s="13">
        <v>0.439</v>
      </c>
      <c r="M561" s="13">
        <v>5.04E-2</v>
      </c>
      <c r="N561" s="13">
        <v>0.1061</v>
      </c>
      <c r="O561" s="13">
        <v>1.8E-3</v>
      </c>
      <c r="P561" s="16">
        <v>0.16579999999999998</v>
      </c>
      <c r="Q561" s="16">
        <v>8.7599999999999997E-2</v>
      </c>
      <c r="R561" s="16">
        <v>8.7599999999999997E-2</v>
      </c>
      <c r="S561" s="16">
        <f t="shared" si="16"/>
        <v>0.11366666666666665</v>
      </c>
      <c r="T561" s="18">
        <v>0.71679909194097602</v>
      </c>
      <c r="U561" s="1">
        <v>0</v>
      </c>
      <c r="V561" s="1">
        <f t="shared" si="17"/>
        <v>0</v>
      </c>
      <c r="W561" s="25"/>
      <c r="X561">
        <v>5.2999999999999999E-2</v>
      </c>
      <c r="Y561" s="1">
        <v>4.1099999999999998E-2</v>
      </c>
      <c r="Z561" s="1">
        <v>4.0300000000000002E-2</v>
      </c>
      <c r="AA561" s="1">
        <v>3994</v>
      </c>
      <c r="AB561" s="1">
        <v>11</v>
      </c>
      <c r="AC561" s="29">
        <v>617</v>
      </c>
    </row>
    <row r="562" spans="1:29" ht="25.5">
      <c r="A562" s="12">
        <v>25</v>
      </c>
      <c r="B562" s="12" t="s">
        <v>519</v>
      </c>
      <c r="C562" s="12">
        <v>25839</v>
      </c>
      <c r="D562" s="12" t="s">
        <v>617</v>
      </c>
      <c r="E562" s="17">
        <v>0.88821453775582215</v>
      </c>
      <c r="F562" s="17">
        <v>0.11178546224417785</v>
      </c>
      <c r="G562" s="13">
        <v>0.78687250111061746</v>
      </c>
      <c r="H562" s="13">
        <v>7.9356872635561162</v>
      </c>
      <c r="I562" s="14">
        <v>8.8658762854254167</v>
      </c>
      <c r="J562" s="16">
        <v>0.89549999999999996</v>
      </c>
      <c r="K562" s="16">
        <v>0.89549999999999996</v>
      </c>
      <c r="L562" s="13">
        <v>0.64059999999999995</v>
      </c>
      <c r="M562" s="13">
        <v>1.0699999999999999E-2</v>
      </c>
      <c r="N562" s="13">
        <v>5.1200000000000002E-2</v>
      </c>
      <c r="O562" s="13">
        <v>5.62E-2</v>
      </c>
      <c r="P562" s="16">
        <v>0.12369999999999999</v>
      </c>
      <c r="Q562" s="16">
        <v>0.12369999999999999</v>
      </c>
      <c r="R562" s="16">
        <v>0.12369999999999999</v>
      </c>
      <c r="S562" s="16">
        <f t="shared" si="16"/>
        <v>0.12369999999999999</v>
      </c>
      <c r="T562" s="18">
        <v>0.47188013136289003</v>
      </c>
      <c r="U562" s="1">
        <v>0</v>
      </c>
      <c r="V562" s="1">
        <f t="shared" si="17"/>
        <v>0</v>
      </c>
      <c r="W562" s="26"/>
      <c r="X562">
        <v>0.24160000000000001</v>
      </c>
      <c r="Y562" s="1">
        <v>3.78E-2</v>
      </c>
      <c r="Z562" s="1">
        <v>3.7100000000000001E-2</v>
      </c>
      <c r="AA562" s="1">
        <v>7889</v>
      </c>
      <c r="AB562" s="1">
        <v>33</v>
      </c>
      <c r="AC562" s="29">
        <v>1342</v>
      </c>
    </row>
    <row r="563" spans="1:29" ht="25.5">
      <c r="A563" s="12">
        <v>25</v>
      </c>
      <c r="B563" s="12" t="s">
        <v>519</v>
      </c>
      <c r="C563" s="12">
        <v>25841</v>
      </c>
      <c r="D563" s="12" t="s">
        <v>618</v>
      </c>
      <c r="E563" s="17">
        <v>0.87223858615611194</v>
      </c>
      <c r="F563" s="17">
        <v>0.12776141384388806</v>
      </c>
      <c r="G563" s="13">
        <v>0.6814703299460545</v>
      </c>
      <c r="H563" s="13">
        <v>6.8172661870503601</v>
      </c>
      <c r="I563" s="14">
        <v>8.6002467465515231</v>
      </c>
      <c r="J563" s="16">
        <v>0.75360000000000005</v>
      </c>
      <c r="K563" s="16">
        <v>0.75360000000000005</v>
      </c>
      <c r="L563" s="13">
        <v>0.47439999999999999</v>
      </c>
      <c r="M563" s="13">
        <v>2.0299999999999999E-2</v>
      </c>
      <c r="N563" s="13">
        <v>7.7499999999999999E-2</v>
      </c>
      <c r="O563" s="13">
        <v>5.04E-2</v>
      </c>
      <c r="P563" s="16">
        <v>0.48909999999999998</v>
      </c>
      <c r="Q563" s="16">
        <v>0.11810000000000001</v>
      </c>
      <c r="R563" s="16">
        <v>0.12960000000000002</v>
      </c>
      <c r="S563" s="16">
        <f t="shared" si="16"/>
        <v>0.24560000000000001</v>
      </c>
      <c r="T563" s="18">
        <v>0.82946967291203511</v>
      </c>
      <c r="U563" s="1">
        <v>8.6956521739999992</v>
      </c>
      <c r="V563" s="1">
        <f t="shared" si="17"/>
        <v>2.2716775555399376</v>
      </c>
      <c r="W563" s="25"/>
      <c r="X563">
        <v>5.9799999999999999E-2</v>
      </c>
      <c r="Y563" s="1">
        <v>0.27829999999999999</v>
      </c>
      <c r="Z563" s="1">
        <v>0.2455</v>
      </c>
      <c r="AA563" s="1">
        <v>6923</v>
      </c>
      <c r="AB563" s="1">
        <v>115</v>
      </c>
      <c r="AC563" s="29">
        <v>1159</v>
      </c>
    </row>
    <row r="564" spans="1:29" ht="25.5">
      <c r="A564" s="12">
        <v>25</v>
      </c>
      <c r="B564" s="12" t="s">
        <v>519</v>
      </c>
      <c r="C564" s="12">
        <v>25843</v>
      </c>
      <c r="D564" s="12" t="s">
        <v>619</v>
      </c>
      <c r="E564" s="17">
        <v>0.36798023722102841</v>
      </c>
      <c r="F564" s="17">
        <v>0.63200284259149586</v>
      </c>
      <c r="G564" s="13">
        <v>1</v>
      </c>
      <c r="H564" s="13">
        <v>0.58222900436377267</v>
      </c>
      <c r="I564" s="14">
        <v>10.987020043769144</v>
      </c>
      <c r="J564" s="16">
        <v>0.93789999999999996</v>
      </c>
      <c r="K564" s="16">
        <v>0.93700000000000006</v>
      </c>
      <c r="L564" s="13">
        <v>0.65620000000000001</v>
      </c>
      <c r="M564" s="13">
        <v>2.58E-2</v>
      </c>
      <c r="N564" s="13">
        <v>8.3799999999999999E-2</v>
      </c>
      <c r="O564" s="13">
        <v>2.81E-2</v>
      </c>
      <c r="P564" s="16">
        <v>0.99299999999999999</v>
      </c>
      <c r="Q564" s="16">
        <v>0.71219999999999994</v>
      </c>
      <c r="R564" s="16">
        <v>0.71620000000000006</v>
      </c>
      <c r="S564" s="16">
        <f t="shared" si="16"/>
        <v>0.80713333333333337</v>
      </c>
      <c r="T564" s="18">
        <v>1</v>
      </c>
      <c r="U564" s="1">
        <v>0</v>
      </c>
      <c r="V564" s="1">
        <f t="shared" si="17"/>
        <v>0</v>
      </c>
      <c r="W564" s="26"/>
      <c r="X564">
        <v>0.14319999999999999</v>
      </c>
      <c r="Y564" s="1">
        <v>2.3376999999999999</v>
      </c>
      <c r="Z564" s="1">
        <v>1.2053</v>
      </c>
      <c r="AA564" s="1">
        <v>47305</v>
      </c>
      <c r="AB564" s="1">
        <v>518</v>
      </c>
      <c r="AC564" s="29">
        <v>9071</v>
      </c>
    </row>
    <row r="565" spans="1:29" ht="25.5">
      <c r="A565" s="12">
        <v>25</v>
      </c>
      <c r="B565" s="12" t="s">
        <v>519</v>
      </c>
      <c r="C565" s="12">
        <v>25845</v>
      </c>
      <c r="D565" s="12" t="s">
        <v>620</v>
      </c>
      <c r="E565" s="17">
        <v>0.89903181189488246</v>
      </c>
      <c r="F565" s="17">
        <v>0.10096818810511757</v>
      </c>
      <c r="G565" s="13">
        <v>0.78115246098439373</v>
      </c>
      <c r="H565" s="13">
        <v>8.8905775075987847</v>
      </c>
      <c r="I565" s="14">
        <v>8.7807874683389286</v>
      </c>
      <c r="J565" s="16">
        <v>0.72819999999999996</v>
      </c>
      <c r="K565" s="16">
        <v>0.72819999999999996</v>
      </c>
      <c r="L565" s="13">
        <v>0.496</v>
      </c>
      <c r="M565" s="13">
        <v>1.2200000000000001E-2</v>
      </c>
      <c r="N565" s="13">
        <v>5.2400000000000002E-2</v>
      </c>
      <c r="O565" s="13">
        <v>6.4500000000000002E-2</v>
      </c>
      <c r="P565" s="16">
        <v>0.29570000000000002</v>
      </c>
      <c r="Q565" s="16">
        <v>0.2671</v>
      </c>
      <c r="R565" s="16">
        <v>0.26140000000000002</v>
      </c>
      <c r="S565" s="16">
        <f t="shared" si="16"/>
        <v>0.27473333333333333</v>
      </c>
      <c r="T565" s="18">
        <v>0.84130688448074598</v>
      </c>
      <c r="U565" s="1">
        <v>0</v>
      </c>
      <c r="V565" s="1">
        <f t="shared" si="17"/>
        <v>0</v>
      </c>
      <c r="W565" s="25"/>
      <c r="X565">
        <v>6.2199999999999998E-2</v>
      </c>
      <c r="Y565" s="1">
        <v>0.1973</v>
      </c>
      <c r="Z565" s="1">
        <v>0.18010000000000001</v>
      </c>
      <c r="AA565" s="1">
        <v>6730</v>
      </c>
      <c r="AB565" s="1">
        <v>93</v>
      </c>
      <c r="AC565" s="29">
        <v>1183</v>
      </c>
    </row>
    <row r="566" spans="1:29" ht="25.5">
      <c r="A566" s="12">
        <v>25</v>
      </c>
      <c r="B566" s="12" t="s">
        <v>519</v>
      </c>
      <c r="C566" s="12">
        <v>25851</v>
      </c>
      <c r="D566" s="12" t="s">
        <v>621</v>
      </c>
      <c r="E566" s="17">
        <v>0.86931521170935699</v>
      </c>
      <c r="F566" s="17">
        <v>0.13068478829064298</v>
      </c>
      <c r="G566" s="13">
        <v>0.7561264822134387</v>
      </c>
      <c r="H566" s="13">
        <v>6.6387225548902196</v>
      </c>
      <c r="I566" s="14">
        <v>8.2498364854257016</v>
      </c>
      <c r="J566" s="16">
        <v>0.66390000000000005</v>
      </c>
      <c r="K566" s="16">
        <v>0.66390000000000005</v>
      </c>
      <c r="L566" s="13">
        <v>0.45079999999999998</v>
      </c>
      <c r="M566" s="13">
        <v>8.0000000000000002E-3</v>
      </c>
      <c r="N566" s="13">
        <v>5.9900000000000002E-2</v>
      </c>
      <c r="O566" s="13">
        <v>0.04</v>
      </c>
      <c r="P566" s="16">
        <v>0.45090000000000002</v>
      </c>
      <c r="Q566" s="16">
        <v>0.2802</v>
      </c>
      <c r="R566" s="16">
        <v>0.42649999999999999</v>
      </c>
      <c r="S566" s="16">
        <f t="shared" si="16"/>
        <v>0.38586666666666664</v>
      </c>
      <c r="T566" s="18">
        <v>0.98812095032397396</v>
      </c>
      <c r="U566" s="1">
        <v>0</v>
      </c>
      <c r="V566" s="1">
        <f t="shared" si="17"/>
        <v>0</v>
      </c>
      <c r="W566" s="26"/>
      <c r="X566">
        <v>6.2300000000000001E-2</v>
      </c>
      <c r="Y566" s="1">
        <v>0.18629999999999999</v>
      </c>
      <c r="Z566" s="1">
        <v>0.17080000000000001</v>
      </c>
      <c r="AA566" s="1">
        <v>4342</v>
      </c>
      <c r="AB566" s="1">
        <v>16</v>
      </c>
      <c r="AC566" s="29">
        <v>625</v>
      </c>
    </row>
    <row r="567" spans="1:29" ht="25.5">
      <c r="A567" s="12">
        <v>25</v>
      </c>
      <c r="B567" s="12" t="s">
        <v>519</v>
      </c>
      <c r="C567" s="12">
        <v>25862</v>
      </c>
      <c r="D567" s="12" t="s">
        <v>622</v>
      </c>
      <c r="E567" s="17">
        <v>0.91817440912795434</v>
      </c>
      <c r="F567" s="17">
        <v>8.1825590872045634E-2</v>
      </c>
      <c r="G567" s="13">
        <v>0.76211180124223599</v>
      </c>
      <c r="H567" s="13">
        <v>11.198807157057654</v>
      </c>
      <c r="I567" s="14">
        <v>8.7219283430470913</v>
      </c>
      <c r="J567" s="16">
        <v>0.73829999999999996</v>
      </c>
      <c r="K567" s="16">
        <v>0.73829999999999996</v>
      </c>
      <c r="L567" s="13">
        <v>0.50529999999999997</v>
      </c>
      <c r="M567" s="13">
        <v>1.4500000000000001E-2</v>
      </c>
      <c r="N567" s="13">
        <v>6.0199999999999997E-2</v>
      </c>
      <c r="O567" s="13">
        <v>1.04E-2</v>
      </c>
      <c r="P567" s="16">
        <v>0.41189999999999999</v>
      </c>
      <c r="Q567" s="16">
        <v>0.1883</v>
      </c>
      <c r="R567" s="16">
        <v>0.15609999999999999</v>
      </c>
      <c r="S567" s="16">
        <f t="shared" si="16"/>
        <v>0.25209999999999999</v>
      </c>
      <c r="T567" s="18">
        <v>0.91617184771219007</v>
      </c>
      <c r="U567" s="1">
        <v>0</v>
      </c>
      <c r="V567" s="1">
        <f t="shared" si="17"/>
        <v>0</v>
      </c>
      <c r="W567" s="26"/>
      <c r="X567">
        <v>4.4900000000000002E-2</v>
      </c>
      <c r="Y567" s="1">
        <v>3.73E-2</v>
      </c>
      <c r="Z567" s="1">
        <v>3.6700000000000003E-2</v>
      </c>
      <c r="AA567" s="1">
        <v>6708</v>
      </c>
      <c r="AB567" s="1">
        <v>28</v>
      </c>
      <c r="AC567" s="29">
        <v>1006</v>
      </c>
    </row>
    <row r="568" spans="1:29" ht="25.5">
      <c r="A568" s="12">
        <v>25</v>
      </c>
      <c r="B568" s="12" t="s">
        <v>519</v>
      </c>
      <c r="C568" s="12">
        <v>25867</v>
      </c>
      <c r="D568" s="12" t="s">
        <v>623</v>
      </c>
      <c r="E568" s="17">
        <v>0.86122675548154315</v>
      </c>
      <c r="F568" s="17">
        <v>0.13877324451845685</v>
      </c>
      <c r="G568" s="13">
        <v>0.68877843624545976</v>
      </c>
      <c r="H568" s="13">
        <v>6.1936127744510978</v>
      </c>
      <c r="I568" s="14">
        <v>8.1897996187282285</v>
      </c>
      <c r="J568" s="16">
        <v>0.67530000000000001</v>
      </c>
      <c r="K568" s="16">
        <v>0.67530000000000001</v>
      </c>
      <c r="L568" s="13">
        <v>0.39550000000000002</v>
      </c>
      <c r="M568" s="13">
        <v>2.5600000000000001E-2</v>
      </c>
      <c r="N568" s="13">
        <v>6.1499999999999999E-2</v>
      </c>
      <c r="O568" s="13">
        <v>7.5200000000000003E-2</v>
      </c>
      <c r="P568" s="16">
        <v>0.30709999999999998</v>
      </c>
      <c r="Q568" s="16">
        <v>0.21190000000000001</v>
      </c>
      <c r="R568" s="16">
        <v>0.28770000000000001</v>
      </c>
      <c r="S568" s="16">
        <f t="shared" si="16"/>
        <v>0.26889999999999997</v>
      </c>
      <c r="T568" s="18">
        <v>0.84073107049608298</v>
      </c>
      <c r="U568" s="1">
        <v>0</v>
      </c>
      <c r="V568" s="1">
        <f t="shared" si="17"/>
        <v>0</v>
      </c>
      <c r="W568" s="25"/>
      <c r="X568">
        <v>3.7499999999999999E-2</v>
      </c>
      <c r="Y568" s="1">
        <v>0.157</v>
      </c>
      <c r="Z568" s="1">
        <v>0.14580000000000001</v>
      </c>
      <c r="AA568" s="1">
        <v>4624</v>
      </c>
      <c r="AB568" s="1">
        <v>19</v>
      </c>
      <c r="AC568" s="29">
        <v>759</v>
      </c>
    </row>
    <row r="569" spans="1:29" ht="25.5">
      <c r="A569" s="12">
        <v>25</v>
      </c>
      <c r="B569" s="12" t="s">
        <v>519</v>
      </c>
      <c r="C569" s="12">
        <v>25871</v>
      </c>
      <c r="D569" s="12" t="s">
        <v>624</v>
      </c>
      <c r="E569" s="17">
        <v>0.90623179965055334</v>
      </c>
      <c r="F569" s="17">
        <v>9.3768200349446704E-2</v>
      </c>
      <c r="G569" s="13">
        <v>0.83228308288899666</v>
      </c>
      <c r="H569" s="13">
        <v>9.6049382716049383</v>
      </c>
      <c r="I569" s="14">
        <v>7.4489161025442003</v>
      </c>
      <c r="J569" s="16">
        <v>0.64959999999999996</v>
      </c>
      <c r="K569" s="16">
        <v>0.64959999999999996</v>
      </c>
      <c r="L569" s="13">
        <v>0.43099999999999999</v>
      </c>
      <c r="M569" s="13">
        <v>2.5100000000000001E-2</v>
      </c>
      <c r="N569" s="13">
        <v>7.9500000000000001E-2</v>
      </c>
      <c r="O569" s="13">
        <v>8.3999999999999995E-3</v>
      </c>
      <c r="P569" s="16">
        <v>0</v>
      </c>
      <c r="Q569" s="16">
        <v>0</v>
      </c>
      <c r="R569" s="16">
        <v>0</v>
      </c>
      <c r="S569" s="16">
        <f t="shared" si="16"/>
        <v>0</v>
      </c>
      <c r="T569" s="18">
        <v>0.6481203007518791</v>
      </c>
      <c r="U569" s="1">
        <v>0</v>
      </c>
      <c r="V569" s="1">
        <f t="shared" si="17"/>
        <v>0</v>
      </c>
      <c r="W569" s="26"/>
      <c r="X569">
        <v>3.73E-2</v>
      </c>
      <c r="Y569" s="1">
        <v>7.2599999999999998E-2</v>
      </c>
      <c r="Z569" s="1">
        <v>7.0099999999999996E-2</v>
      </c>
      <c r="AA569" s="1">
        <v>1645</v>
      </c>
      <c r="AB569" s="1">
        <v>3</v>
      </c>
      <c r="AC569" s="29">
        <v>275</v>
      </c>
    </row>
    <row r="570" spans="1:29" ht="25.5">
      <c r="A570" s="12">
        <v>25</v>
      </c>
      <c r="B570" s="12" t="s">
        <v>519</v>
      </c>
      <c r="C570" s="12">
        <v>25873</v>
      </c>
      <c r="D570" s="12" t="s">
        <v>625</v>
      </c>
      <c r="E570" s="17">
        <v>0.76810235112867575</v>
      </c>
      <c r="F570" s="17">
        <v>0.23189764887132427</v>
      </c>
      <c r="G570" s="13">
        <v>0.7199903544731131</v>
      </c>
      <c r="H570" s="13">
        <v>3.3112907883338147</v>
      </c>
      <c r="I570" s="14">
        <v>9.6111278905332362</v>
      </c>
      <c r="J570" s="16">
        <v>0.90439999999999998</v>
      </c>
      <c r="K570" s="16">
        <v>0.9032</v>
      </c>
      <c r="L570" s="13">
        <v>0.64459999999999995</v>
      </c>
      <c r="M570" s="13">
        <v>1.67E-2</v>
      </c>
      <c r="N570" s="13">
        <v>8.6900000000000005E-2</v>
      </c>
      <c r="O570" s="13">
        <v>2.1299999999999999E-2</v>
      </c>
      <c r="P570" s="16">
        <v>0.98439999999999994</v>
      </c>
      <c r="Q570" s="16">
        <v>0.33090000000000003</v>
      </c>
      <c r="R570" s="16">
        <v>0.34340000000000004</v>
      </c>
      <c r="S570" s="16">
        <f t="shared" si="16"/>
        <v>0.55290000000000006</v>
      </c>
      <c r="T570" s="18">
        <v>0.96733428707677604</v>
      </c>
      <c r="U570" s="1">
        <v>0</v>
      </c>
      <c r="V570" s="1">
        <f t="shared" si="17"/>
        <v>0</v>
      </c>
      <c r="W570" s="25"/>
      <c r="X570">
        <v>0.19600000000000001</v>
      </c>
      <c r="Y570" s="1">
        <v>0.65569999999999995</v>
      </c>
      <c r="Z570" s="1">
        <v>0.50419999999999998</v>
      </c>
      <c r="AA570" s="1">
        <v>18129</v>
      </c>
      <c r="AB570" s="1">
        <v>182</v>
      </c>
      <c r="AC570" s="29">
        <v>3772</v>
      </c>
    </row>
    <row r="571" spans="1:29" ht="25.5">
      <c r="A571" s="12">
        <v>25</v>
      </c>
      <c r="B571" s="12" t="s">
        <v>519</v>
      </c>
      <c r="C571" s="12">
        <v>25875</v>
      </c>
      <c r="D571" s="12" t="s">
        <v>626</v>
      </c>
      <c r="E571" s="17">
        <v>0.49210078111235095</v>
      </c>
      <c r="F571" s="17">
        <v>0.507899218887649</v>
      </c>
      <c r="G571" s="13">
        <v>1</v>
      </c>
      <c r="H571" s="13">
        <v>0.96883852691218131</v>
      </c>
      <c r="I571" s="14">
        <v>10.435732143675418</v>
      </c>
      <c r="J571" s="16">
        <v>0.91859999999999997</v>
      </c>
      <c r="K571" s="16">
        <v>0.91669999999999996</v>
      </c>
      <c r="L571" s="13">
        <v>0.52129999999999999</v>
      </c>
      <c r="M571" s="13">
        <v>4.6800000000000001E-2</v>
      </c>
      <c r="N571" s="13">
        <v>0.1007</v>
      </c>
      <c r="O571" s="13">
        <v>1.7500000000000002E-2</v>
      </c>
      <c r="P571" s="16">
        <v>0.84930000000000005</v>
      </c>
      <c r="Q571" s="16">
        <v>0.5756</v>
      </c>
      <c r="R571" s="16">
        <v>0.58650000000000002</v>
      </c>
      <c r="S571" s="16">
        <f t="shared" si="16"/>
        <v>0.67046666666666666</v>
      </c>
      <c r="T571" s="18">
        <v>1</v>
      </c>
      <c r="U571" s="1">
        <v>4.6082949309999997</v>
      </c>
      <c r="V571" s="1">
        <f t="shared" si="17"/>
        <v>1.7242467394692533</v>
      </c>
      <c r="W571" s="26"/>
      <c r="X571">
        <v>0.1414</v>
      </c>
      <c r="Y571" s="1">
        <v>1.0091000000000001</v>
      </c>
      <c r="Z571" s="1">
        <v>0.69769999999999999</v>
      </c>
      <c r="AA571" s="1">
        <v>29130</v>
      </c>
      <c r="AB571" s="1">
        <v>217</v>
      </c>
      <c r="AC571" s="29">
        <v>4772</v>
      </c>
    </row>
    <row r="572" spans="1:29" ht="25.5">
      <c r="A572" s="12">
        <v>25</v>
      </c>
      <c r="B572" s="12" t="s">
        <v>519</v>
      </c>
      <c r="C572" s="12">
        <v>25878</v>
      </c>
      <c r="D572" s="12" t="s">
        <v>627</v>
      </c>
      <c r="E572" s="17">
        <v>0.8555300908242085</v>
      </c>
      <c r="F572" s="17">
        <v>0.14446990917579153</v>
      </c>
      <c r="G572" s="13">
        <v>0.74852277781307575</v>
      </c>
      <c r="H572" s="13">
        <v>5.918379330593071</v>
      </c>
      <c r="I572" s="14">
        <v>9.3743282220816333</v>
      </c>
      <c r="J572" s="16">
        <v>0.86439999999999995</v>
      </c>
      <c r="K572" s="16">
        <v>0.86439999999999995</v>
      </c>
      <c r="L572" s="13">
        <v>0.54900000000000004</v>
      </c>
      <c r="M572" s="13">
        <v>4.19E-2</v>
      </c>
      <c r="N572" s="13">
        <v>9.9500000000000005E-2</v>
      </c>
      <c r="O572" s="13">
        <v>1.4800000000000001E-2</v>
      </c>
      <c r="P572" s="16">
        <v>0.56659999999999999</v>
      </c>
      <c r="Q572" s="16">
        <v>0.23710000000000001</v>
      </c>
      <c r="R572" s="16">
        <v>0.23710000000000001</v>
      </c>
      <c r="S572" s="16">
        <f t="shared" si="16"/>
        <v>0.34693333333333332</v>
      </c>
      <c r="T572" s="18">
        <v>1</v>
      </c>
      <c r="U572" s="1">
        <v>0</v>
      </c>
      <c r="V572" s="1">
        <f t="shared" si="17"/>
        <v>0</v>
      </c>
      <c r="W572" s="25"/>
      <c r="X572">
        <v>3.8699999999999998E-2</v>
      </c>
      <c r="Y572" s="1">
        <v>0.26450000000000001</v>
      </c>
      <c r="Z572" s="1">
        <v>0.2346</v>
      </c>
      <c r="AA572" s="1">
        <v>13500</v>
      </c>
      <c r="AB572" s="1">
        <v>93</v>
      </c>
      <c r="AC572" s="29">
        <v>2310</v>
      </c>
    </row>
    <row r="573" spans="1:29" ht="25.5">
      <c r="A573" s="12">
        <v>25</v>
      </c>
      <c r="B573" s="12" t="s">
        <v>519</v>
      </c>
      <c r="C573" s="12">
        <v>25885</v>
      </c>
      <c r="D573" s="12" t="s">
        <v>628</v>
      </c>
      <c r="E573" s="17">
        <v>0.93025871766029244</v>
      </c>
      <c r="F573" s="17">
        <v>6.9741282339707542E-2</v>
      </c>
      <c r="G573" s="13">
        <v>0.73878116343490308</v>
      </c>
      <c r="H573" s="13">
        <v>13.320805369127516</v>
      </c>
      <c r="I573" s="14">
        <v>9.2750976191914614</v>
      </c>
      <c r="J573" s="16">
        <v>0.72819999999999996</v>
      </c>
      <c r="K573" s="16">
        <v>0.72819999999999996</v>
      </c>
      <c r="L573" s="13">
        <v>0.41920000000000002</v>
      </c>
      <c r="M573" s="13">
        <v>3.1199999999999999E-2</v>
      </c>
      <c r="N573" s="13">
        <v>7.0000000000000007E-2</v>
      </c>
      <c r="O573" s="13">
        <v>2.41E-2</v>
      </c>
      <c r="P573" s="16">
        <v>0.17180000000000001</v>
      </c>
      <c r="Q573" s="16">
        <v>0.16120000000000001</v>
      </c>
      <c r="R573" s="16">
        <v>0.23739999999999997</v>
      </c>
      <c r="S573" s="16">
        <f t="shared" si="16"/>
        <v>0.19013333333333335</v>
      </c>
      <c r="T573" s="18">
        <v>0.53784505788067594</v>
      </c>
      <c r="U573" s="1">
        <v>26.315789469999999</v>
      </c>
      <c r="V573" s="1">
        <f t="shared" si="17"/>
        <v>3.3074649038645734</v>
      </c>
      <c r="W573" s="26"/>
      <c r="X573">
        <v>2.9899999999999999E-2</v>
      </c>
      <c r="Y573" s="1">
        <v>0.01</v>
      </c>
      <c r="Z573" s="1">
        <v>9.9000000000000008E-3</v>
      </c>
      <c r="AA573" s="1">
        <v>11191</v>
      </c>
      <c r="AB573" s="1">
        <v>38</v>
      </c>
      <c r="AC573" s="29">
        <v>1882</v>
      </c>
    </row>
    <row r="574" spans="1:29" ht="25.5">
      <c r="A574" s="12">
        <v>25</v>
      </c>
      <c r="B574" s="12" t="s">
        <v>519</v>
      </c>
      <c r="C574" s="12">
        <v>25898</v>
      </c>
      <c r="D574" s="12" t="s">
        <v>629</v>
      </c>
      <c r="E574" s="17">
        <v>0.71627408993576014</v>
      </c>
      <c r="F574" s="17">
        <v>0.28372591006423981</v>
      </c>
      <c r="G574" s="13">
        <v>0.49902048085485307</v>
      </c>
      <c r="H574" s="13">
        <v>2.5213567839195981</v>
      </c>
      <c r="I574" s="14">
        <v>7.9384455511647882</v>
      </c>
      <c r="J574" s="16">
        <v>0.76700000000000002</v>
      </c>
      <c r="K574" s="16">
        <v>0.76600000000000001</v>
      </c>
      <c r="L574" s="13">
        <v>0.43480000000000002</v>
      </c>
      <c r="M574" s="13">
        <v>3.85E-2</v>
      </c>
      <c r="N574" s="13">
        <v>5.9799999999999999E-2</v>
      </c>
      <c r="O574" s="13">
        <v>3.5900000000000001E-2</v>
      </c>
      <c r="P574" s="16">
        <v>0.96450000000000002</v>
      </c>
      <c r="Q574" s="16">
        <v>0.43119999999999997</v>
      </c>
      <c r="R574" s="16">
        <v>0.42349999999999999</v>
      </c>
      <c r="S574" s="16">
        <f t="shared" si="16"/>
        <v>0.60639999999999994</v>
      </c>
      <c r="T574" s="18">
        <v>1</v>
      </c>
      <c r="U574" s="1">
        <v>0</v>
      </c>
      <c r="V574" s="1">
        <f t="shared" si="17"/>
        <v>0</v>
      </c>
      <c r="W574" s="25"/>
      <c r="X574">
        <v>2.87E-2</v>
      </c>
      <c r="Y574" s="1">
        <v>1.2456</v>
      </c>
      <c r="Z574" s="1">
        <v>0.80900000000000005</v>
      </c>
      <c r="AA574" s="1">
        <v>4679</v>
      </c>
      <c r="AB574" s="1">
        <v>26</v>
      </c>
      <c r="AC574" s="29">
        <v>799</v>
      </c>
    </row>
    <row r="575" spans="1:29" ht="25.5">
      <c r="A575" s="12">
        <v>25</v>
      </c>
      <c r="B575" s="12" t="s">
        <v>519</v>
      </c>
      <c r="C575" s="12">
        <v>25899</v>
      </c>
      <c r="D575" s="12" t="s">
        <v>630</v>
      </c>
      <c r="E575" s="17">
        <v>0.25045126090182079</v>
      </c>
      <c r="F575" s="17">
        <v>0.7495428975331071</v>
      </c>
      <c r="G575" s="13">
        <v>1</v>
      </c>
      <c r="H575" s="13">
        <v>0.33413605792086537</v>
      </c>
      <c r="I575" s="14">
        <v>12.050517646775173</v>
      </c>
      <c r="J575" s="16">
        <v>0.94720000000000004</v>
      </c>
      <c r="K575" s="16">
        <v>0.94510000000000005</v>
      </c>
      <c r="L575" s="13">
        <v>0.54610000000000003</v>
      </c>
      <c r="M575" s="13">
        <v>4.5100000000000001E-2</v>
      </c>
      <c r="N575" s="13">
        <v>0.10639999999999999</v>
      </c>
      <c r="O575" s="13">
        <v>0.107</v>
      </c>
      <c r="P575" s="16">
        <v>0.94359999999999999</v>
      </c>
      <c r="Q575" s="16">
        <v>0.89969999999999994</v>
      </c>
      <c r="R575" s="16">
        <v>0.91010000000000002</v>
      </c>
      <c r="S575" s="16">
        <f t="shared" si="16"/>
        <v>0.91780000000000006</v>
      </c>
      <c r="T575" s="18">
        <v>0.87918523233609092</v>
      </c>
      <c r="U575" s="1">
        <v>7.9103493739999999</v>
      </c>
      <c r="V575" s="1">
        <f t="shared" si="17"/>
        <v>2.1872134521617808</v>
      </c>
      <c r="W575" s="26"/>
      <c r="X575">
        <v>0.18540000000000001</v>
      </c>
      <c r="Y575" s="1">
        <v>3.7791000000000001</v>
      </c>
      <c r="Z575" s="1">
        <v>1.5643</v>
      </c>
      <c r="AA575" s="1">
        <v>163372</v>
      </c>
      <c r="AB575" s="1">
        <v>1517</v>
      </c>
      <c r="AC575" s="29">
        <v>29311</v>
      </c>
    </row>
    <row r="576" spans="1:29">
      <c r="A576" s="12">
        <v>27</v>
      </c>
      <c r="B576" s="12" t="s">
        <v>460</v>
      </c>
      <c r="C576" s="12">
        <v>27001</v>
      </c>
      <c r="D576" s="12" t="s">
        <v>483</v>
      </c>
      <c r="E576" s="17">
        <v>0.78145242048954866</v>
      </c>
      <c r="F576" s="17">
        <v>0.21854124149120915</v>
      </c>
      <c r="G576" s="13">
        <v>1</v>
      </c>
      <c r="H576" s="13">
        <v>3.5756626645786209</v>
      </c>
      <c r="I576" s="14">
        <v>11.968950598690094</v>
      </c>
      <c r="J576" s="16">
        <v>0.99</v>
      </c>
      <c r="K576" s="16">
        <v>0.99</v>
      </c>
      <c r="L576" s="13">
        <v>0.45119999999999999</v>
      </c>
      <c r="M576" s="13">
        <v>1.38E-2</v>
      </c>
      <c r="N576" s="13">
        <v>0.10349999999999999</v>
      </c>
      <c r="O576" s="13">
        <v>6.3E-2</v>
      </c>
      <c r="P576" s="16">
        <v>0.44469999999999998</v>
      </c>
      <c r="Q576" s="16">
        <v>0.1986</v>
      </c>
      <c r="R576" s="16"/>
      <c r="S576" s="16">
        <f t="shared" si="16"/>
        <v>0.21443333333333334</v>
      </c>
      <c r="T576" s="18">
        <v>1</v>
      </c>
      <c r="U576" s="1">
        <v>21.298701300000001</v>
      </c>
      <c r="V576" s="1">
        <f t="shared" si="17"/>
        <v>3.1045284391020327</v>
      </c>
      <c r="W576" s="26"/>
      <c r="X576">
        <v>9.8699999999999996E-2</v>
      </c>
      <c r="Y576" s="1">
        <v>6.1600000000000002E-2</v>
      </c>
      <c r="Z576" s="1">
        <v>5.9799999999999999E-2</v>
      </c>
      <c r="AA576" s="1">
        <v>140076</v>
      </c>
      <c r="AB576" s="1">
        <v>1925</v>
      </c>
      <c r="AC576" s="29">
        <v>31739</v>
      </c>
    </row>
    <row r="577" spans="1:29">
      <c r="A577" s="12">
        <v>27</v>
      </c>
      <c r="B577" s="12" t="s">
        <v>460</v>
      </c>
      <c r="C577" s="12">
        <v>27006</v>
      </c>
      <c r="D577" s="12" t="s">
        <v>461</v>
      </c>
      <c r="E577" s="17">
        <v>0.93888848946725145</v>
      </c>
      <c r="F577" s="17">
        <v>6.1111510532748582E-2</v>
      </c>
      <c r="G577" s="13">
        <v>0.8765439879001764</v>
      </c>
      <c r="H577" s="13">
        <v>15.345475910693303</v>
      </c>
      <c r="I577" s="14">
        <v>9.540363284917488</v>
      </c>
      <c r="J577" s="16">
        <v>0.92820000000000003</v>
      </c>
      <c r="K577" s="16">
        <v>0.92820000000000003</v>
      </c>
      <c r="L577" s="13">
        <v>0.2545</v>
      </c>
      <c r="M577" s="13">
        <v>5.5599999999999997E-2</v>
      </c>
      <c r="N577" s="13">
        <v>0.10929999999999999</v>
      </c>
      <c r="O577" s="13">
        <v>0.1227</v>
      </c>
      <c r="P577" s="16">
        <v>1</v>
      </c>
      <c r="Q577" s="16">
        <v>0.58609999999999995</v>
      </c>
      <c r="R577" s="16">
        <v>1</v>
      </c>
      <c r="S577" s="16">
        <f t="shared" si="16"/>
        <v>0.86203333333333332</v>
      </c>
      <c r="T577" s="18">
        <v>1</v>
      </c>
      <c r="U577" s="1">
        <v>16.393442619999998</v>
      </c>
      <c r="V577" s="1">
        <f t="shared" si="17"/>
        <v>2.8560932742710206</v>
      </c>
      <c r="W577" s="26"/>
      <c r="X577">
        <v>8.3999999999999995E-3</v>
      </c>
      <c r="Y577" s="1">
        <v>1.4800000000000001E-2</v>
      </c>
      <c r="Z577" s="1">
        <v>1.47E-2</v>
      </c>
      <c r="AA577" s="1">
        <v>15963</v>
      </c>
      <c r="AB577" s="1">
        <v>183</v>
      </c>
      <c r="AC577" s="29">
        <v>3901</v>
      </c>
    </row>
    <row r="578" spans="1:29">
      <c r="A578" s="12">
        <v>27</v>
      </c>
      <c r="B578" s="12" t="s">
        <v>460</v>
      </c>
      <c r="C578" s="12">
        <v>27025</v>
      </c>
      <c r="D578" s="12" t="s">
        <v>462</v>
      </c>
      <c r="E578" s="17">
        <v>0.9644359285914571</v>
      </c>
      <c r="F578" s="17">
        <v>3.5564071408542855E-2</v>
      </c>
      <c r="G578" s="13">
        <v>0.68436370614385778</v>
      </c>
      <c r="H578" s="13">
        <v>27.08267716535433</v>
      </c>
      <c r="I578" s="14">
        <v>9.9710994709461485</v>
      </c>
      <c r="J578" s="16">
        <v>0.89970000000000006</v>
      </c>
      <c r="K578" s="16">
        <v>0.89970000000000006</v>
      </c>
      <c r="L578" s="13">
        <v>0.18</v>
      </c>
      <c r="M578" s="13">
        <v>1.5699999999999999E-2</v>
      </c>
      <c r="N578" s="13">
        <v>5.5599999999999997E-2</v>
      </c>
      <c r="O578" s="13">
        <v>4.8300000000000003E-2</v>
      </c>
      <c r="P578" s="16">
        <v>0.85980000000000001</v>
      </c>
      <c r="Q578" s="16">
        <v>0.75599999999999989</v>
      </c>
      <c r="R578" s="16">
        <v>0.75599999999999989</v>
      </c>
      <c r="S578" s="16">
        <f t="shared" ref="S578:S641" si="18">+(P578+Q578+R578)/3</f>
        <v>0.79059999999999997</v>
      </c>
      <c r="T578" s="18">
        <v>0.68307453416149</v>
      </c>
      <c r="U578" s="1">
        <v>103.4482759</v>
      </c>
      <c r="V578" s="1">
        <f t="shared" ref="V578:V641" si="19">LN(U578+1)</f>
        <v>4.6486919814039194</v>
      </c>
      <c r="W578" s="25"/>
      <c r="X578">
        <v>5.7999999999999996E-3</v>
      </c>
      <c r="Y578" s="1">
        <v>0</v>
      </c>
      <c r="Z578" s="1">
        <v>0</v>
      </c>
      <c r="AA578" s="1">
        <v>28940</v>
      </c>
      <c r="AB578" s="1">
        <v>87</v>
      </c>
      <c r="AC578" s="29">
        <v>8808</v>
      </c>
    </row>
    <row r="579" spans="1:29">
      <c r="A579" s="12">
        <v>27</v>
      </c>
      <c r="B579" s="12" t="s">
        <v>460</v>
      </c>
      <c r="C579" s="12">
        <v>27050</v>
      </c>
      <c r="D579" s="12" t="s">
        <v>463</v>
      </c>
      <c r="E579" s="17">
        <v>0.94337040205303679</v>
      </c>
      <c r="F579" s="17">
        <v>5.6629597946963213E-2</v>
      </c>
      <c r="G579" s="13">
        <v>0.85440725040198806</v>
      </c>
      <c r="H579" s="13">
        <v>16.608433734939759</v>
      </c>
      <c r="I579" s="14">
        <v>8.6735129456711917</v>
      </c>
      <c r="J579" s="16">
        <v>0.81759999999999999</v>
      </c>
      <c r="K579" s="16">
        <v>0.81759999999999999</v>
      </c>
      <c r="L579" s="13">
        <v>0.32500000000000001</v>
      </c>
      <c r="M579" s="13">
        <v>2.24E-2</v>
      </c>
      <c r="N579" s="13">
        <v>5.79E-2</v>
      </c>
      <c r="O579" s="13">
        <v>1.7399999999999999E-2</v>
      </c>
      <c r="P579" s="16">
        <v>0.98180000000000012</v>
      </c>
      <c r="Q579" s="16">
        <v>0.98239999999999994</v>
      </c>
      <c r="R579" s="16">
        <v>0.76319999999999988</v>
      </c>
      <c r="S579" s="16">
        <f t="shared" si="18"/>
        <v>0.90913333333333324</v>
      </c>
      <c r="T579" s="18">
        <v>0.66791277258566895</v>
      </c>
      <c r="U579" s="1">
        <v>19.23076923</v>
      </c>
      <c r="V579" s="1">
        <f t="shared" si="19"/>
        <v>3.0072046746782051</v>
      </c>
      <c r="W579" s="26"/>
      <c r="X579">
        <v>2.3199999999999998E-2</v>
      </c>
      <c r="Y579" s="1">
        <v>1.0999999999999999E-2</v>
      </c>
      <c r="Z579" s="1">
        <v>1.09E-2</v>
      </c>
      <c r="AA579" s="1">
        <v>6409</v>
      </c>
      <c r="AB579" s="1">
        <v>52</v>
      </c>
      <c r="AC579" s="29">
        <v>1581</v>
      </c>
    </row>
    <row r="580" spans="1:29">
      <c r="A580" s="12">
        <v>27</v>
      </c>
      <c r="B580" s="12" t="s">
        <v>460</v>
      </c>
      <c r="C580" s="12">
        <v>27073</v>
      </c>
      <c r="D580" s="12" t="s">
        <v>464</v>
      </c>
      <c r="E580" s="17">
        <v>0.95398181317167263</v>
      </c>
      <c r="F580" s="17">
        <v>4.6018186828327361E-2</v>
      </c>
      <c r="G580" s="13">
        <v>0.91927721016634301</v>
      </c>
      <c r="H580" s="13">
        <v>20.689243027888445</v>
      </c>
      <c r="I580" s="14">
        <v>9.2954165443313013</v>
      </c>
      <c r="J580" s="16">
        <v>1.3231999999999999</v>
      </c>
      <c r="K580" s="16">
        <v>1.3231999999999999</v>
      </c>
      <c r="L580" s="13">
        <v>0.37340000000000001</v>
      </c>
      <c r="M580" s="13">
        <v>8.2000000000000007E-3</v>
      </c>
      <c r="N580" s="13">
        <v>5.0099999999999999E-2</v>
      </c>
      <c r="O580" s="13">
        <v>3.3599999999999998E-2</v>
      </c>
      <c r="P580" s="16">
        <v>0.89019999999999999</v>
      </c>
      <c r="Q580" s="16">
        <v>0.8901</v>
      </c>
      <c r="R580" s="16">
        <v>0.94700000000000006</v>
      </c>
      <c r="S580" s="16">
        <f t="shared" si="18"/>
        <v>0.90910000000000002</v>
      </c>
      <c r="T580" s="18">
        <v>0.95104895104895104</v>
      </c>
      <c r="U580" s="1">
        <v>75.630252100000007</v>
      </c>
      <c r="V580" s="1">
        <f t="shared" si="19"/>
        <v>4.3389919348111698</v>
      </c>
      <c r="W580" s="25"/>
      <c r="X580">
        <v>3.2800000000000003E-2</v>
      </c>
      <c r="Y580" s="1">
        <v>0</v>
      </c>
      <c r="Z580" s="1">
        <v>0</v>
      </c>
      <c r="AA580" s="1">
        <v>12471</v>
      </c>
      <c r="AB580" s="1">
        <v>119</v>
      </c>
      <c r="AC580" s="29">
        <v>3866</v>
      </c>
    </row>
    <row r="581" spans="1:29">
      <c r="A581" s="12">
        <v>27</v>
      </c>
      <c r="B581" s="12" t="s">
        <v>460</v>
      </c>
      <c r="C581" s="12">
        <v>27075</v>
      </c>
      <c r="D581" s="12" t="s">
        <v>465</v>
      </c>
      <c r="E581" s="17">
        <v>0.95602533226295605</v>
      </c>
      <c r="F581" s="17">
        <v>4.3974667737043976E-2</v>
      </c>
      <c r="G581" s="13">
        <v>0.97682321164067265</v>
      </c>
      <c r="H581" s="13">
        <v>21.696356275303643</v>
      </c>
      <c r="I581" s="14">
        <v>9.324739912284679</v>
      </c>
      <c r="J581" s="16">
        <v>1.0499000000000001</v>
      </c>
      <c r="K581" s="16">
        <v>1.0499000000000001</v>
      </c>
      <c r="L581" s="13">
        <v>0.4289</v>
      </c>
      <c r="M581" s="13">
        <v>6.9199999999999998E-2</v>
      </c>
      <c r="N581" s="13">
        <v>0.1246</v>
      </c>
      <c r="O581" s="13">
        <v>0.122</v>
      </c>
      <c r="P581" s="16">
        <v>0.49790000000000001</v>
      </c>
      <c r="Q581" s="16">
        <v>0.49790000000000001</v>
      </c>
      <c r="R581" s="16">
        <v>0.49790000000000001</v>
      </c>
      <c r="S581" s="16">
        <f t="shared" si="18"/>
        <v>0.49790000000000001</v>
      </c>
      <c r="T581" s="18">
        <v>1</v>
      </c>
      <c r="U581" s="1">
        <v>24.19354839</v>
      </c>
      <c r="V581" s="1">
        <f t="shared" si="19"/>
        <v>3.2265879454697766</v>
      </c>
      <c r="W581" s="26"/>
      <c r="X581">
        <v>6.6699999999999995E-2</v>
      </c>
      <c r="Y581" s="1">
        <v>2.2200000000000001E-2</v>
      </c>
      <c r="Z581" s="1">
        <v>2.1899999999999999E-2</v>
      </c>
      <c r="AA581" s="1">
        <v>10756</v>
      </c>
      <c r="AB581" s="1">
        <v>124</v>
      </c>
      <c r="AC581" s="29">
        <v>2761</v>
      </c>
    </row>
    <row r="582" spans="1:29">
      <c r="A582" s="12">
        <v>27</v>
      </c>
      <c r="B582" s="12" t="s">
        <v>460</v>
      </c>
      <c r="C582" s="12">
        <v>27077</v>
      </c>
      <c r="D582" s="12" t="s">
        <v>466</v>
      </c>
      <c r="E582" s="17">
        <v>0.9701207525975849</v>
      </c>
      <c r="F582" s="17">
        <v>2.987924740241505E-2</v>
      </c>
      <c r="G582" s="13">
        <v>0.52475685234305924</v>
      </c>
      <c r="H582" s="13">
        <v>32.407129455909946</v>
      </c>
      <c r="I582" s="14">
        <v>9.7872907581336168</v>
      </c>
      <c r="J582" s="16">
        <v>0.48609999999999998</v>
      </c>
      <c r="K582" s="16">
        <v>0.48609999999999998</v>
      </c>
      <c r="L582" s="13">
        <v>9.4200000000000006E-2</v>
      </c>
      <c r="M582" s="13">
        <v>5.1000000000000004E-3</v>
      </c>
      <c r="N582" s="13">
        <v>0.12989999999999999</v>
      </c>
      <c r="O582" s="13">
        <v>0.12939999999999999</v>
      </c>
      <c r="P582" s="16">
        <v>0.99860000000000004</v>
      </c>
      <c r="Q582" s="16">
        <v>0.99250000000000005</v>
      </c>
      <c r="R582" s="16">
        <v>0.91379999999999995</v>
      </c>
      <c r="S582" s="16">
        <f t="shared" si="18"/>
        <v>0.96830000000000005</v>
      </c>
      <c r="T582" s="18">
        <v>0.73775433308214</v>
      </c>
      <c r="U582" s="1">
        <v>123.0769231</v>
      </c>
      <c r="V582" s="1">
        <f t="shared" si="19"/>
        <v>4.820901720849661</v>
      </c>
      <c r="W582" s="25"/>
      <c r="X582">
        <v>2.8E-3</v>
      </c>
      <c r="Y582" s="1">
        <v>1E-4</v>
      </c>
      <c r="Z582" s="1">
        <v>1E-4</v>
      </c>
      <c r="AA582" s="1">
        <v>34197</v>
      </c>
      <c r="AB582" s="1">
        <v>65</v>
      </c>
      <c r="AC582" s="29">
        <v>10606</v>
      </c>
    </row>
    <row r="583" spans="1:29">
      <c r="A583" s="12">
        <v>27</v>
      </c>
      <c r="B583" s="12" t="s">
        <v>460</v>
      </c>
      <c r="C583" s="12">
        <v>27086</v>
      </c>
      <c r="D583" s="12" t="s">
        <v>467</v>
      </c>
      <c r="E583" s="17">
        <v>1</v>
      </c>
      <c r="F583" s="17">
        <v>0</v>
      </c>
      <c r="G583" s="13" t="e">
        <v>#N/A</v>
      </c>
      <c r="H583" s="13">
        <v>3</v>
      </c>
      <c r="I583" s="14">
        <v>1.3862943611198906</v>
      </c>
      <c r="J583" s="16" t="e">
        <v>#N/A</v>
      </c>
      <c r="K583" s="16" t="e">
        <v>#N/A</v>
      </c>
      <c r="L583" s="13" t="e">
        <v>#N/A</v>
      </c>
      <c r="M583" s="13" t="e">
        <v>#N/A</v>
      </c>
      <c r="N583" s="13" t="e">
        <v>#N/A</v>
      </c>
      <c r="O583" s="13" t="e">
        <v>#N/A</v>
      </c>
      <c r="P583" s="16"/>
      <c r="Q583" s="16"/>
      <c r="R583" s="16"/>
      <c r="S583" s="16"/>
      <c r="T583" s="18"/>
      <c r="U583" s="1">
        <v>0</v>
      </c>
      <c r="V583" s="1">
        <f t="shared" si="19"/>
        <v>0</v>
      </c>
      <c r="W583" s="26"/>
      <c r="X583">
        <v>1.0500000000000001E-2</v>
      </c>
      <c r="Y583" s="1" t="e">
        <v>#N/A</v>
      </c>
      <c r="Z583" s="1" t="e">
        <v>#N/A</v>
      </c>
      <c r="AA583" s="1" t="e">
        <v>#N/A</v>
      </c>
      <c r="AB583" s="1" t="e">
        <v>#N/A</v>
      </c>
      <c r="AC583" s="29" t="e">
        <v>#N/A</v>
      </c>
    </row>
    <row r="584" spans="1:29">
      <c r="A584" s="12">
        <v>27</v>
      </c>
      <c r="B584" s="12" t="s">
        <v>460</v>
      </c>
      <c r="C584" s="12">
        <v>27099</v>
      </c>
      <c r="D584" s="12" t="s">
        <v>468</v>
      </c>
      <c r="E584" s="17">
        <v>0.95061278085789325</v>
      </c>
      <c r="F584" s="17">
        <v>4.9387219142106802E-2</v>
      </c>
      <c r="G584" s="13">
        <v>0.99919819228806761</v>
      </c>
      <c r="H584" s="13">
        <v>19.219764011799409</v>
      </c>
      <c r="I584" s="14">
        <v>9.5258078304359</v>
      </c>
      <c r="J584" s="16">
        <v>1.0577000000000001</v>
      </c>
      <c r="K584" s="16">
        <v>1.0577000000000001</v>
      </c>
      <c r="L584" s="13">
        <v>0.24099999999999999</v>
      </c>
      <c r="M584" s="13">
        <v>4.7999999999999996E-3</v>
      </c>
      <c r="N584" s="13">
        <v>6.0499999999999998E-2</v>
      </c>
      <c r="O584" s="13">
        <v>0.1</v>
      </c>
      <c r="P584" s="16">
        <v>0.60829999999999995</v>
      </c>
      <c r="Q584" s="16">
        <v>0.36709999999999998</v>
      </c>
      <c r="R584" s="16">
        <v>0.39189999999999997</v>
      </c>
      <c r="S584" s="16">
        <f t="shared" ref="S584:S647" si="20">+(P584+Q584+R584)/3</f>
        <v>0.45576666666666665</v>
      </c>
      <c r="T584" s="18">
        <v>0.97740458015267095</v>
      </c>
      <c r="U584" s="1">
        <v>232.87671230000001</v>
      </c>
      <c r="V584" s="1">
        <f t="shared" si="19"/>
        <v>5.4547941059998415</v>
      </c>
      <c r="W584" s="25"/>
      <c r="X584">
        <v>0.10150000000000001</v>
      </c>
      <c r="Y584" s="1">
        <v>0</v>
      </c>
      <c r="Z584" s="1">
        <v>0</v>
      </c>
      <c r="AA584" s="1">
        <v>13019</v>
      </c>
      <c r="AB584" s="1">
        <v>73</v>
      </c>
      <c r="AC584" s="29">
        <v>4278</v>
      </c>
    </row>
    <row r="585" spans="1:29" ht="25.5">
      <c r="A585" s="12">
        <v>27</v>
      </c>
      <c r="B585" s="12" t="s">
        <v>460</v>
      </c>
      <c r="C585" s="12">
        <v>27135</v>
      </c>
      <c r="D585" s="12" t="s">
        <v>469</v>
      </c>
      <c r="E585" s="17">
        <v>0.9580246913580247</v>
      </c>
      <c r="F585" s="17">
        <v>4.1975308641975309E-2</v>
      </c>
      <c r="G585" s="13">
        <v>0.82102519548218944</v>
      </c>
      <c r="H585" s="13">
        <v>22.728033472803347</v>
      </c>
      <c r="I585" s="14">
        <v>8.6431207480140273</v>
      </c>
      <c r="J585" s="16">
        <v>0.8216</v>
      </c>
      <c r="K585" s="16">
        <v>0.8216</v>
      </c>
      <c r="L585" s="13">
        <v>0.3372</v>
      </c>
      <c r="M585" s="13">
        <v>2.5100000000000001E-2</v>
      </c>
      <c r="N585" s="13">
        <v>0.13100000000000001</v>
      </c>
      <c r="O585" s="13">
        <v>5.57E-2</v>
      </c>
      <c r="P585" s="16">
        <v>0.93540000000000001</v>
      </c>
      <c r="Q585" s="16">
        <v>0.97609999999999997</v>
      </c>
      <c r="R585" s="16">
        <v>0.82499999999999996</v>
      </c>
      <c r="S585" s="16">
        <f t="shared" si="20"/>
        <v>0.91216666666666668</v>
      </c>
      <c r="T585" s="18">
        <v>0.48763250883392201</v>
      </c>
      <c r="U585" s="1">
        <v>16.94915254</v>
      </c>
      <c r="V585" s="1">
        <f t="shared" si="19"/>
        <v>2.8875429015634868</v>
      </c>
      <c r="W585" s="26"/>
      <c r="X585">
        <v>1.7399999999999999E-2</v>
      </c>
      <c r="Y585" s="1">
        <v>7.7999999999999996E-3</v>
      </c>
      <c r="Z585" s="1">
        <v>7.7999999999999996E-3</v>
      </c>
      <c r="AA585" s="1">
        <v>6486</v>
      </c>
      <c r="AB585" s="1">
        <v>59</v>
      </c>
      <c r="AC585" s="29">
        <v>1687</v>
      </c>
    </row>
    <row r="586" spans="1:29">
      <c r="A586" s="12">
        <v>27</v>
      </c>
      <c r="B586" s="12" t="s">
        <v>460</v>
      </c>
      <c r="C586" s="12">
        <v>27150</v>
      </c>
      <c r="D586" s="12" t="s">
        <v>470</v>
      </c>
      <c r="E586" s="17">
        <v>0.96135759558372524</v>
      </c>
      <c r="F586" s="17">
        <v>3.8642404416274791E-2</v>
      </c>
      <c r="G586" s="13">
        <v>0.44154554482260538</v>
      </c>
      <c r="H586" s="13">
        <v>24.812664907651715</v>
      </c>
      <c r="I586" s="14">
        <v>9.1884014644574297</v>
      </c>
      <c r="J586" s="16">
        <v>0.6502</v>
      </c>
      <c r="K586" s="16">
        <v>0.6502</v>
      </c>
      <c r="L586" s="13">
        <v>0.17480000000000001</v>
      </c>
      <c r="M586" s="13">
        <v>2.7799999999999998E-2</v>
      </c>
      <c r="N586" s="13">
        <v>0.1019</v>
      </c>
      <c r="O586" s="13">
        <v>4.1500000000000002E-2</v>
      </c>
      <c r="P586" s="16">
        <v>1</v>
      </c>
      <c r="Q586" s="16">
        <v>0</v>
      </c>
      <c r="R586" s="16">
        <v>1</v>
      </c>
      <c r="S586" s="16">
        <f t="shared" si="20"/>
        <v>0.66666666666666663</v>
      </c>
      <c r="T586" s="18">
        <v>0.498604956507467</v>
      </c>
      <c r="U586" s="1">
        <v>11.42857143</v>
      </c>
      <c r="V586" s="1">
        <f t="shared" si="19"/>
        <v>2.519997969714213</v>
      </c>
      <c r="W586" s="25"/>
      <c r="X586">
        <v>1.7600000000000001E-2</v>
      </c>
      <c r="Y586" s="1">
        <v>4.0000000000000002E-4</v>
      </c>
      <c r="Z586" s="1">
        <v>4.0000000000000002E-4</v>
      </c>
      <c r="AA586" s="1">
        <v>21234</v>
      </c>
      <c r="AB586" s="1">
        <v>175</v>
      </c>
      <c r="AC586" s="29">
        <v>6285</v>
      </c>
    </row>
    <row r="587" spans="1:29">
      <c r="A587" s="12">
        <v>27</v>
      </c>
      <c r="B587" s="12" t="s">
        <v>460</v>
      </c>
      <c r="C587" s="12">
        <v>27160</v>
      </c>
      <c r="D587" s="12" t="s">
        <v>471</v>
      </c>
      <c r="E587" s="17">
        <v>0.95113558155540257</v>
      </c>
      <c r="F587" s="17">
        <v>4.8864418444597386E-2</v>
      </c>
      <c r="G587" s="13">
        <v>0.70272448815089472</v>
      </c>
      <c r="H587" s="13">
        <v>19.373831775700936</v>
      </c>
      <c r="I587" s="14">
        <v>8.3802273363430793</v>
      </c>
      <c r="J587" s="16">
        <v>0.82679999999999998</v>
      </c>
      <c r="K587" s="16">
        <v>0.82679999999999998</v>
      </c>
      <c r="L587" s="13">
        <v>0.4234</v>
      </c>
      <c r="M587" s="13">
        <v>3.1300000000000001E-2</v>
      </c>
      <c r="N587" s="13">
        <v>0.1115</v>
      </c>
      <c r="O587" s="13">
        <v>9.2100000000000001E-2</v>
      </c>
      <c r="P587" s="16">
        <v>0.92430000000000012</v>
      </c>
      <c r="Q587" s="16">
        <v>0.97010000000000007</v>
      </c>
      <c r="R587" s="16">
        <v>1</v>
      </c>
      <c r="S587" s="16">
        <f t="shared" si="20"/>
        <v>0.96479999999999999</v>
      </c>
      <c r="T587" s="18">
        <v>5.7077625570776204E-2</v>
      </c>
      <c r="U587" s="1">
        <v>51.282051279999997</v>
      </c>
      <c r="V587" s="1">
        <f t="shared" si="19"/>
        <v>3.9566531244055736</v>
      </c>
      <c r="W587" s="26"/>
      <c r="X587">
        <v>4.48E-2</v>
      </c>
      <c r="Y587" s="1">
        <v>1.5800000000000002E-2</v>
      </c>
      <c r="Z587" s="1">
        <v>1.5699999999999999E-2</v>
      </c>
      <c r="AA587" s="1">
        <v>5986</v>
      </c>
      <c r="AB587" s="1">
        <v>39</v>
      </c>
      <c r="AC587" s="29">
        <v>1388</v>
      </c>
    </row>
    <row r="588" spans="1:29">
      <c r="A588" s="12">
        <v>27</v>
      </c>
      <c r="B588" s="12" t="s">
        <v>460</v>
      </c>
      <c r="C588" s="12">
        <v>27205</v>
      </c>
      <c r="D588" s="12" t="s">
        <v>472</v>
      </c>
      <c r="E588" s="17">
        <v>0.9281838222825165</v>
      </c>
      <c r="F588" s="17">
        <v>7.181617771748347E-2</v>
      </c>
      <c r="G588" s="13">
        <v>0.84678345778288344</v>
      </c>
      <c r="H588" s="13">
        <v>12.909198113207546</v>
      </c>
      <c r="I588" s="14">
        <v>9.3754309918417746</v>
      </c>
      <c r="J588" s="16">
        <v>0.86639999999999995</v>
      </c>
      <c r="K588" s="16">
        <v>0.86639999999999995</v>
      </c>
      <c r="L588" s="13">
        <v>0.48309999999999997</v>
      </c>
      <c r="M588" s="13">
        <v>3.7199999999999997E-2</v>
      </c>
      <c r="N588" s="13">
        <v>8.2299999999999998E-2</v>
      </c>
      <c r="O588" s="13">
        <v>9.4600000000000004E-2</v>
      </c>
      <c r="P588" s="16">
        <v>0.92599999999999993</v>
      </c>
      <c r="Q588" s="16">
        <v>0.97680000000000011</v>
      </c>
      <c r="R588" s="16">
        <v>0.92530000000000001</v>
      </c>
      <c r="S588" s="16">
        <f t="shared" si="20"/>
        <v>0.94269999999999998</v>
      </c>
      <c r="T588" s="18">
        <v>1</v>
      </c>
      <c r="U588" s="1">
        <v>21.276595740000001</v>
      </c>
      <c r="V588" s="1">
        <f t="shared" si="19"/>
        <v>3.1035366089503542</v>
      </c>
      <c r="W588" s="25"/>
      <c r="X588">
        <v>0.1588</v>
      </c>
      <c r="Y588" s="1">
        <v>1.9199999999999998E-2</v>
      </c>
      <c r="Z588" s="1">
        <v>1.9099999999999999E-2</v>
      </c>
      <c r="AA588" s="1">
        <v>12664</v>
      </c>
      <c r="AB588" s="1">
        <v>141</v>
      </c>
      <c r="AC588" s="29">
        <v>3125</v>
      </c>
    </row>
    <row r="589" spans="1:29">
      <c r="A589" s="12">
        <v>27</v>
      </c>
      <c r="B589" s="12" t="s">
        <v>460</v>
      </c>
      <c r="C589" s="12">
        <v>27245</v>
      </c>
      <c r="D589" s="12" t="s">
        <v>473</v>
      </c>
      <c r="E589" s="17">
        <v>0.80784481834744404</v>
      </c>
      <c r="F589" s="17">
        <v>0.19215518165255599</v>
      </c>
      <c r="G589" s="13">
        <v>1</v>
      </c>
      <c r="H589" s="13">
        <v>4.2017837235228539</v>
      </c>
      <c r="I589" s="14">
        <v>9.1412046331413208</v>
      </c>
      <c r="J589" s="16">
        <v>1.2982</v>
      </c>
      <c r="K589" s="16">
        <v>1.2982</v>
      </c>
      <c r="L589" s="13">
        <v>0.38550000000000001</v>
      </c>
      <c r="M589" s="13">
        <v>1.7399999999999999E-2</v>
      </c>
      <c r="N589" s="13">
        <v>9.0399999999999994E-2</v>
      </c>
      <c r="O589" s="13">
        <v>0.1138</v>
      </c>
      <c r="P589" s="16">
        <v>0.36829999999999996</v>
      </c>
      <c r="Q589" s="16">
        <v>0.33729999999999999</v>
      </c>
      <c r="R589" s="16">
        <v>0.36799999999999999</v>
      </c>
      <c r="S589" s="16">
        <f t="shared" si="20"/>
        <v>0.35786666666666661</v>
      </c>
      <c r="T589" s="18">
        <v>1</v>
      </c>
      <c r="U589" s="1">
        <v>35.971223019999996</v>
      </c>
      <c r="V589" s="1">
        <f t="shared" si="19"/>
        <v>3.6101398538187279</v>
      </c>
      <c r="W589" s="26"/>
      <c r="X589">
        <v>5.4000000000000003E-3</v>
      </c>
      <c r="Y589" s="1">
        <v>3.7499999999999999E-2</v>
      </c>
      <c r="Z589" s="1">
        <v>3.6799999999999999E-2</v>
      </c>
      <c r="AA589" s="1">
        <v>8622</v>
      </c>
      <c r="AB589" s="1">
        <v>139</v>
      </c>
      <c r="AC589" s="29">
        <v>2082</v>
      </c>
    </row>
    <row r="590" spans="1:29" ht="25.5">
      <c r="A590" s="12">
        <v>27</v>
      </c>
      <c r="B590" s="12" t="s">
        <v>460</v>
      </c>
      <c r="C590" s="12">
        <v>27250</v>
      </c>
      <c r="D590" s="12" t="s">
        <v>474</v>
      </c>
      <c r="E590" s="17">
        <v>0.95181428014046043</v>
      </c>
      <c r="F590" s="17">
        <v>4.8185719859539601E-2</v>
      </c>
      <c r="G590" s="13">
        <v>0.40357438097862458</v>
      </c>
      <c r="H590" s="13">
        <v>19.713131313131314</v>
      </c>
      <c r="I590" s="14">
        <v>9.2353256246700912</v>
      </c>
      <c r="J590" s="16">
        <v>0.46850000000000003</v>
      </c>
      <c r="K590" s="16">
        <v>0.46850000000000003</v>
      </c>
      <c r="L590" s="13">
        <v>8.9899999999999994E-2</v>
      </c>
      <c r="M590" s="13">
        <v>1.49E-2</v>
      </c>
      <c r="N590" s="13">
        <v>0.156</v>
      </c>
      <c r="O590" s="13">
        <v>0.1037</v>
      </c>
      <c r="P590" s="16">
        <v>1</v>
      </c>
      <c r="Q590" s="16">
        <v>1</v>
      </c>
      <c r="R590" s="16">
        <v>1</v>
      </c>
      <c r="S590" s="16">
        <f t="shared" si="20"/>
        <v>1</v>
      </c>
      <c r="T590" s="18">
        <v>0.58156028368794299</v>
      </c>
      <c r="U590" s="1">
        <v>15.38461538</v>
      </c>
      <c r="V590" s="1">
        <f t="shared" si="19"/>
        <v>2.7963428079661981</v>
      </c>
      <c r="W590" s="25"/>
      <c r="X590">
        <v>3.5799999999999998E-2</v>
      </c>
      <c r="Y590" s="1">
        <v>2.0000000000000001E-4</v>
      </c>
      <c r="Z590" s="1">
        <v>2.0000000000000001E-4</v>
      </c>
      <c r="AA590" s="1">
        <v>26236</v>
      </c>
      <c r="AB590" s="1">
        <v>65</v>
      </c>
      <c r="AC590" s="29">
        <v>8310</v>
      </c>
    </row>
    <row r="591" spans="1:29">
      <c r="A591" s="12">
        <v>27</v>
      </c>
      <c r="B591" s="12" t="s">
        <v>460</v>
      </c>
      <c r="C591" s="12">
        <v>27361</v>
      </c>
      <c r="D591" s="12" t="s">
        <v>475</v>
      </c>
      <c r="E591" s="17">
        <v>0.83401888650715483</v>
      </c>
      <c r="F591" s="17">
        <v>0.16595214645733156</v>
      </c>
      <c r="G591" s="13">
        <v>1</v>
      </c>
      <c r="H591" s="13">
        <v>5.0247818499127401</v>
      </c>
      <c r="I591" s="14">
        <v>10.449381047562612</v>
      </c>
      <c r="J591" s="16">
        <v>1.1068</v>
      </c>
      <c r="K591" s="16">
        <v>1.1068</v>
      </c>
      <c r="L591" s="13">
        <v>0.53420000000000001</v>
      </c>
      <c r="M591" s="13">
        <v>3.3599999999999998E-2</v>
      </c>
      <c r="N591" s="13">
        <v>0.1116</v>
      </c>
      <c r="O591" s="13">
        <v>9.0399999999999994E-2</v>
      </c>
      <c r="P591" s="16">
        <v>0</v>
      </c>
      <c r="Q591" s="16">
        <v>0</v>
      </c>
      <c r="R591" s="16">
        <v>1</v>
      </c>
      <c r="S591" s="16">
        <f t="shared" si="20"/>
        <v>0.33333333333333331</v>
      </c>
      <c r="T591" s="18">
        <v>1</v>
      </c>
      <c r="U591" s="1">
        <v>23.86634845</v>
      </c>
      <c r="V591" s="1">
        <f t="shared" si="19"/>
        <v>3.2135154215428341</v>
      </c>
      <c r="W591" s="26"/>
      <c r="X591">
        <v>5.4300000000000001E-2</v>
      </c>
      <c r="Y591" s="1">
        <v>9.1000000000000004E-3</v>
      </c>
      <c r="Z591" s="1">
        <v>9.1000000000000004E-3</v>
      </c>
      <c r="AA591" s="1">
        <v>35215</v>
      </c>
      <c r="AB591" s="1">
        <v>419</v>
      </c>
      <c r="AC591" s="29">
        <v>8769</v>
      </c>
    </row>
    <row r="592" spans="1:29">
      <c r="A592" s="12">
        <v>27</v>
      </c>
      <c r="B592" s="12" t="s">
        <v>460</v>
      </c>
      <c r="C592" s="12">
        <v>27372</v>
      </c>
      <c r="D592" s="12" t="s">
        <v>476</v>
      </c>
      <c r="E592" s="17">
        <v>0.96705978039853602</v>
      </c>
      <c r="F592" s="17">
        <v>3.294021960146401E-2</v>
      </c>
      <c r="G592" s="13">
        <v>0.6526874585268746</v>
      </c>
      <c r="H592" s="13">
        <v>29.177914110429448</v>
      </c>
      <c r="I592" s="14">
        <v>8.50086053679534</v>
      </c>
      <c r="J592" s="16">
        <v>0.56269999999999998</v>
      </c>
      <c r="K592" s="16">
        <v>0.56269999999999998</v>
      </c>
      <c r="L592" s="13">
        <v>0.16059999999999999</v>
      </c>
      <c r="M592" s="13">
        <v>8.8999999999999999E-3</v>
      </c>
      <c r="N592" s="13">
        <v>0.153</v>
      </c>
      <c r="O592" s="13">
        <v>0.13519999999999999</v>
      </c>
      <c r="P592" s="16">
        <v>0.59289999999999998</v>
      </c>
      <c r="Q592" s="16">
        <v>0.59289999999999998</v>
      </c>
      <c r="R592" s="16">
        <v>0.59289999999999998</v>
      </c>
      <c r="S592" s="16">
        <f t="shared" si="20"/>
        <v>0.59289999999999998</v>
      </c>
      <c r="T592" s="18">
        <v>1</v>
      </c>
      <c r="U592" s="1">
        <v>48.19277108</v>
      </c>
      <c r="V592" s="1">
        <f t="shared" si="19"/>
        <v>3.8957466834348073</v>
      </c>
      <c r="W592" s="25"/>
      <c r="X592">
        <v>6.8999999999999999E-3</v>
      </c>
      <c r="Y592" s="1">
        <v>3.3E-3</v>
      </c>
      <c r="Z592" s="1">
        <v>3.2000000000000002E-3</v>
      </c>
      <c r="AA592" s="1">
        <v>8260</v>
      </c>
      <c r="AB592" s="1">
        <v>83</v>
      </c>
      <c r="AC592" s="29">
        <v>2476</v>
      </c>
    </row>
    <row r="593" spans="1:29">
      <c r="A593" s="12">
        <v>27</v>
      </c>
      <c r="B593" s="12" t="s">
        <v>460</v>
      </c>
      <c r="C593" s="12">
        <v>27413</v>
      </c>
      <c r="D593" s="12" t="s">
        <v>477</v>
      </c>
      <c r="E593" s="17">
        <v>0.96480987324883261</v>
      </c>
      <c r="F593" s="17">
        <v>3.5190126751167443E-2</v>
      </c>
      <c r="G593" s="13">
        <v>1</v>
      </c>
      <c r="H593" s="13">
        <v>27.35224586288416</v>
      </c>
      <c r="I593" s="14">
        <v>9.3920784252317215</v>
      </c>
      <c r="J593" s="16">
        <v>1.1191</v>
      </c>
      <c r="K593" s="16">
        <v>1.1191</v>
      </c>
      <c r="L593" s="13">
        <v>0.3644</v>
      </c>
      <c r="M593" s="13">
        <v>3.7000000000000002E-3</v>
      </c>
      <c r="N593" s="13">
        <v>8.1799999999999998E-2</v>
      </c>
      <c r="O593" s="13">
        <v>4.2999999999999997E-2</v>
      </c>
      <c r="P593" s="16">
        <v>0.77329999999999999</v>
      </c>
      <c r="Q593" s="16">
        <v>0.70389999999999997</v>
      </c>
      <c r="R593" s="16">
        <v>0.90469999999999995</v>
      </c>
      <c r="S593" s="16">
        <f t="shared" si="20"/>
        <v>0.7939666666666666</v>
      </c>
      <c r="T593" s="18">
        <v>1</v>
      </c>
      <c r="U593" s="1">
        <v>41.237113399999998</v>
      </c>
      <c r="V593" s="1">
        <f t="shared" si="19"/>
        <v>3.7432992989946721</v>
      </c>
      <c r="W593" s="26"/>
      <c r="X593">
        <v>5.3E-3</v>
      </c>
      <c r="Y593" s="1">
        <v>0</v>
      </c>
      <c r="Z593" s="1">
        <v>0</v>
      </c>
      <c r="AA593" s="1">
        <v>10316</v>
      </c>
      <c r="AB593" s="1">
        <v>194</v>
      </c>
      <c r="AC593" s="29">
        <v>3183</v>
      </c>
    </row>
    <row r="594" spans="1:29">
      <c r="A594" s="12">
        <v>27</v>
      </c>
      <c r="B594" s="12" t="s">
        <v>460</v>
      </c>
      <c r="C594" s="12">
        <v>27425</v>
      </c>
      <c r="D594" s="12" t="s">
        <v>478</v>
      </c>
      <c r="E594" s="17">
        <v>0.97101660355374309</v>
      </c>
      <c r="F594" s="17">
        <v>2.8983396446256918E-2</v>
      </c>
      <c r="G594" s="13">
        <v>0.53249573445013187</v>
      </c>
      <c r="H594" s="13">
        <v>33.335000000000001</v>
      </c>
      <c r="I594" s="14">
        <v>8.8344826086206769</v>
      </c>
      <c r="J594" s="16">
        <v>0.60929999999999995</v>
      </c>
      <c r="K594" s="16">
        <v>0.60929999999999995</v>
      </c>
      <c r="L594" s="13">
        <v>8.0100000000000005E-2</v>
      </c>
      <c r="M594" s="13">
        <v>4.7000000000000002E-3</v>
      </c>
      <c r="N594" s="13">
        <v>7.22E-2</v>
      </c>
      <c r="O594" s="13">
        <v>9.69E-2</v>
      </c>
      <c r="P594" s="16">
        <v>0.84819999999999995</v>
      </c>
      <c r="Q594" s="16">
        <v>0</v>
      </c>
      <c r="R594" s="16">
        <v>0.21629999999999999</v>
      </c>
      <c r="S594" s="16">
        <f t="shared" si="20"/>
        <v>0.35483333333333333</v>
      </c>
      <c r="T594" s="18">
        <v>0.89942528735632199</v>
      </c>
      <c r="U594" s="1">
        <v>62.5</v>
      </c>
      <c r="V594" s="1">
        <f t="shared" si="19"/>
        <v>4.1510399058986458</v>
      </c>
      <c r="W594" s="25"/>
      <c r="X594">
        <v>2.7400000000000001E-2</v>
      </c>
      <c r="Y594" s="1">
        <v>0</v>
      </c>
      <c r="Z594" s="1">
        <v>0</v>
      </c>
      <c r="AA594" s="1">
        <v>11179</v>
      </c>
      <c r="AB594" s="1">
        <v>48</v>
      </c>
      <c r="AC594" s="29">
        <v>3299</v>
      </c>
    </row>
    <row r="595" spans="1:29">
      <c r="A595" s="12">
        <v>27</v>
      </c>
      <c r="B595" s="12" t="s">
        <v>460</v>
      </c>
      <c r="C595" s="12">
        <v>27430</v>
      </c>
      <c r="D595" s="12" t="s">
        <v>479</v>
      </c>
      <c r="E595" s="17">
        <v>0.95864008602862105</v>
      </c>
      <c r="F595" s="17">
        <v>4.1359913971378941E-2</v>
      </c>
      <c r="G595" s="13">
        <v>0.71562185520629851</v>
      </c>
      <c r="H595" s="13">
        <v>23.131736526946106</v>
      </c>
      <c r="I595" s="14">
        <v>9.4001339436088376</v>
      </c>
      <c r="J595" s="16">
        <v>0.68269999999999997</v>
      </c>
      <c r="K595" s="16">
        <v>0.68269999999999997</v>
      </c>
      <c r="L595" s="13">
        <v>0.1527</v>
      </c>
      <c r="M595" s="13">
        <v>6.7999999999999996E-3</v>
      </c>
      <c r="N595" s="13">
        <v>6.0499999999999998E-2</v>
      </c>
      <c r="O595" s="13">
        <v>5.4600000000000003E-2</v>
      </c>
      <c r="P595" s="16">
        <v>0.6492</v>
      </c>
      <c r="Q595" s="16">
        <v>0.46259999999999996</v>
      </c>
      <c r="R595" s="16">
        <v>0.72640000000000005</v>
      </c>
      <c r="S595" s="16">
        <f t="shared" si="20"/>
        <v>0.61273333333333335</v>
      </c>
      <c r="T595" s="18">
        <v>0.79675135360266491</v>
      </c>
      <c r="U595" s="1">
        <v>4.926108374</v>
      </c>
      <c r="V595" s="1">
        <f t="shared" si="19"/>
        <v>1.7793677368680536</v>
      </c>
      <c r="W595" s="26"/>
      <c r="X595">
        <v>1.3599999999999999E-2</v>
      </c>
      <c r="Y595" s="1">
        <v>0</v>
      </c>
      <c r="Z595" s="1">
        <v>0</v>
      </c>
      <c r="AA595" s="1">
        <v>17004</v>
      </c>
      <c r="AB595" s="1">
        <v>203</v>
      </c>
      <c r="AC595" s="29">
        <v>5087</v>
      </c>
    </row>
    <row r="596" spans="1:29">
      <c r="A596" s="12">
        <v>27</v>
      </c>
      <c r="B596" s="12" t="s">
        <v>460</v>
      </c>
      <c r="C596" s="12">
        <v>27450</v>
      </c>
      <c r="D596" s="12" t="s">
        <v>480</v>
      </c>
      <c r="E596" s="17">
        <v>0.9593604263824117</v>
      </c>
      <c r="F596" s="17">
        <v>4.0639573617588277E-2</v>
      </c>
      <c r="G596" s="13">
        <v>0.76555593335600136</v>
      </c>
      <c r="H596" s="13">
        <v>23.542234332425068</v>
      </c>
      <c r="I596" s="14">
        <v>9.1057573317837424</v>
      </c>
      <c r="J596" s="16">
        <v>0.80159999999999998</v>
      </c>
      <c r="K596" s="16">
        <v>0.80159999999999998</v>
      </c>
      <c r="L596" s="13">
        <v>0.3251</v>
      </c>
      <c r="M596" s="13">
        <v>1.6799999999999999E-2</v>
      </c>
      <c r="N596" s="13">
        <v>0.1113</v>
      </c>
      <c r="O596" s="13">
        <v>5.5899999999999998E-2</v>
      </c>
      <c r="P596" s="16">
        <v>0.86560000000000004</v>
      </c>
      <c r="Q596" s="16">
        <v>0.49209999999999998</v>
      </c>
      <c r="R596" s="16">
        <v>0.70719999999999994</v>
      </c>
      <c r="S596" s="16">
        <f t="shared" si="20"/>
        <v>0.68829999999999991</v>
      </c>
      <c r="T596" s="18">
        <v>0.89677771709448295</v>
      </c>
      <c r="U596" s="1">
        <v>37.5</v>
      </c>
      <c r="V596" s="1">
        <f t="shared" si="19"/>
        <v>3.6506582412937387</v>
      </c>
      <c r="W596" s="25"/>
      <c r="X596">
        <v>1.8200000000000001E-2</v>
      </c>
      <c r="Y596" s="1">
        <v>2.2000000000000001E-3</v>
      </c>
      <c r="Z596" s="1">
        <v>2.2000000000000001E-3</v>
      </c>
      <c r="AA596" s="1">
        <v>11112</v>
      </c>
      <c r="AB596" s="1">
        <v>80</v>
      </c>
      <c r="AC596" s="29">
        <v>2924</v>
      </c>
    </row>
    <row r="597" spans="1:29">
      <c r="A597" s="12">
        <v>27</v>
      </c>
      <c r="B597" s="12" t="s">
        <v>460</v>
      </c>
      <c r="C597" s="12">
        <v>27491</v>
      </c>
      <c r="D597" s="12" t="s">
        <v>481</v>
      </c>
      <c r="E597" s="17">
        <v>0.96588348889604114</v>
      </c>
      <c r="F597" s="17">
        <v>3.4116511103958802E-2</v>
      </c>
      <c r="G597" s="13">
        <v>0.59842064714946075</v>
      </c>
      <c r="H597" s="13">
        <v>28.178403755868544</v>
      </c>
      <c r="I597" s="14">
        <v>8.7347210039448111</v>
      </c>
      <c r="J597" s="16">
        <v>0.71679999999999999</v>
      </c>
      <c r="K597" s="16">
        <v>0.71679999999999999</v>
      </c>
      <c r="L597" s="13">
        <v>0.25669999999999998</v>
      </c>
      <c r="M597" s="13">
        <v>4.0599999999999997E-2</v>
      </c>
      <c r="N597" s="13">
        <v>0.1144</v>
      </c>
      <c r="O597" s="13">
        <v>7.22E-2</v>
      </c>
      <c r="P597" s="16">
        <v>0.90610000000000002</v>
      </c>
      <c r="Q597" s="16">
        <v>0.35479999999999995</v>
      </c>
      <c r="R597" s="16">
        <v>0.47020000000000001</v>
      </c>
      <c r="S597" s="16">
        <f t="shared" si="20"/>
        <v>0.57703333333333329</v>
      </c>
      <c r="T597" s="18">
        <v>0.68943151468904995</v>
      </c>
      <c r="U597" s="1">
        <v>16.666666670000001</v>
      </c>
      <c r="V597" s="1">
        <f t="shared" si="19"/>
        <v>2.8716796250726913</v>
      </c>
      <c r="W597" s="26"/>
      <c r="X597">
        <v>2.265E-2</v>
      </c>
      <c r="Y597" s="1">
        <v>0</v>
      </c>
      <c r="Z597" s="1">
        <v>0</v>
      </c>
      <c r="AA597" s="1">
        <v>9825</v>
      </c>
      <c r="AB597" s="1">
        <v>60</v>
      </c>
      <c r="AC597" s="29">
        <v>2488</v>
      </c>
    </row>
    <row r="598" spans="1:29">
      <c r="A598" s="12">
        <v>27</v>
      </c>
      <c r="B598" s="12" t="s">
        <v>460</v>
      </c>
      <c r="C598" s="12">
        <v>27495</v>
      </c>
      <c r="D598" s="12" t="s">
        <v>482</v>
      </c>
      <c r="E598" s="17">
        <v>0.95754425052605519</v>
      </c>
      <c r="F598" s="17">
        <v>4.2455749473944794E-2</v>
      </c>
      <c r="G598" s="13">
        <v>0.44319490921059851</v>
      </c>
      <c r="H598" s="13">
        <v>22.488372093023255</v>
      </c>
      <c r="I598" s="14">
        <v>8.9971471515151418</v>
      </c>
      <c r="J598" s="16">
        <v>0.40500000000000003</v>
      </c>
      <c r="K598" s="16">
        <v>0.40500000000000003</v>
      </c>
      <c r="L598" s="13">
        <v>7.7399999999999997E-2</v>
      </c>
      <c r="M598" s="13">
        <v>3.5400000000000001E-2</v>
      </c>
      <c r="N598" s="13">
        <v>0.10059999999999999</v>
      </c>
      <c r="O598" s="13">
        <v>0.1434</v>
      </c>
      <c r="P598" s="16">
        <v>1</v>
      </c>
      <c r="Q598" s="16">
        <v>1</v>
      </c>
      <c r="R598" s="16">
        <v>1</v>
      </c>
      <c r="S598" s="16">
        <f t="shared" si="20"/>
        <v>1</v>
      </c>
      <c r="T598" s="18">
        <v>1</v>
      </c>
      <c r="U598" s="1">
        <v>74.074074069999995</v>
      </c>
      <c r="V598" s="1">
        <f t="shared" si="19"/>
        <v>4.3184752803934039</v>
      </c>
      <c r="W598" s="25"/>
      <c r="X598">
        <v>3.9699999999999999E-2</v>
      </c>
      <c r="Y598" s="1">
        <v>5.5999999999999999E-3</v>
      </c>
      <c r="Z598" s="1">
        <v>5.5999999999999999E-3</v>
      </c>
      <c r="AA598" s="1">
        <v>18555</v>
      </c>
      <c r="AB598" s="1">
        <v>54</v>
      </c>
      <c r="AC598" s="29">
        <v>5637</v>
      </c>
    </row>
    <row r="599" spans="1:29">
      <c r="A599" s="12">
        <v>27</v>
      </c>
      <c r="B599" s="12" t="s">
        <v>460</v>
      </c>
      <c r="C599" s="12">
        <v>27580</v>
      </c>
      <c r="D599" s="12" t="s">
        <v>484</v>
      </c>
      <c r="E599" s="17">
        <v>0.96451152355700587</v>
      </c>
      <c r="F599" s="17">
        <v>3.5488476442994084E-2</v>
      </c>
      <c r="G599" s="13">
        <v>0.83313508920985557</v>
      </c>
      <c r="H599" s="13">
        <v>27.022857142857141</v>
      </c>
      <c r="I599" s="14">
        <v>8.4978064776160469</v>
      </c>
      <c r="J599" s="16">
        <v>0.96</v>
      </c>
      <c r="K599" s="16">
        <v>0.96</v>
      </c>
      <c r="L599" s="13">
        <v>0.41099999999999998</v>
      </c>
      <c r="M599" s="13">
        <v>2.4299999999999999E-2</v>
      </c>
      <c r="N599" s="13">
        <v>0.12590000000000001</v>
      </c>
      <c r="O599" s="13">
        <v>5.8400000000000001E-2</v>
      </c>
      <c r="P599" s="16">
        <v>0.90650000000000008</v>
      </c>
      <c r="Q599" s="16">
        <v>0.81530000000000002</v>
      </c>
      <c r="R599" s="16">
        <v>0.94959999999999989</v>
      </c>
      <c r="S599" s="16">
        <f t="shared" si="20"/>
        <v>0.89046666666666663</v>
      </c>
      <c r="T599" s="18">
        <v>0.48606271777003401</v>
      </c>
      <c r="U599" s="1">
        <v>20.833333329999999</v>
      </c>
      <c r="V599" s="1">
        <f t="shared" si="19"/>
        <v>3.0834378538204246</v>
      </c>
      <c r="W599" s="25"/>
      <c r="X599">
        <v>1.7999999999999999E-2</v>
      </c>
      <c r="Y599" s="1">
        <v>0</v>
      </c>
      <c r="Z599" s="1">
        <v>0</v>
      </c>
      <c r="AA599" s="1">
        <v>5747</v>
      </c>
      <c r="AB599" s="1">
        <v>48</v>
      </c>
      <c r="AC599" s="29">
        <v>1610</v>
      </c>
    </row>
    <row r="600" spans="1:29">
      <c r="A600" s="12">
        <v>27</v>
      </c>
      <c r="B600" s="12" t="s">
        <v>460</v>
      </c>
      <c r="C600" s="12">
        <v>27600</v>
      </c>
      <c r="D600" s="12" t="s">
        <v>485</v>
      </c>
      <c r="E600" s="17">
        <v>0.95979322228604247</v>
      </c>
      <c r="F600" s="17">
        <v>4.0206777713957496E-2</v>
      </c>
      <c r="G600" s="13">
        <v>0.95053505132124916</v>
      </c>
      <c r="H600" s="13">
        <v>23.803418803418804</v>
      </c>
      <c r="I600" s="14">
        <v>9.0717677221122432</v>
      </c>
      <c r="J600" s="16">
        <v>0.90169999999999995</v>
      </c>
      <c r="K600" s="16">
        <v>0.90169999999999995</v>
      </c>
      <c r="L600" s="13">
        <v>0.3165</v>
      </c>
      <c r="M600" s="13">
        <v>2.7199999999999998E-2</v>
      </c>
      <c r="N600" s="13">
        <v>0.12230000000000001</v>
      </c>
      <c r="O600" s="13">
        <v>9.7900000000000001E-2</v>
      </c>
      <c r="P600" s="16">
        <v>0.27750000000000002</v>
      </c>
      <c r="Q600" s="16">
        <v>0.43840000000000001</v>
      </c>
      <c r="R600" s="16">
        <v>0.86180000000000012</v>
      </c>
      <c r="S600" s="16">
        <f t="shared" si="20"/>
        <v>0.52590000000000003</v>
      </c>
      <c r="T600" s="18">
        <v>1</v>
      </c>
      <c r="U600" s="1">
        <v>29.41176471</v>
      </c>
      <c r="V600" s="1">
        <f t="shared" si="19"/>
        <v>3.4148295305876095</v>
      </c>
      <c r="W600" s="26"/>
      <c r="X600">
        <v>2.4199999999999999E-2</v>
      </c>
      <c r="Y600" s="1">
        <v>3.0000000000000001E-3</v>
      </c>
      <c r="Z600" s="1">
        <v>3.0000000000000001E-3</v>
      </c>
      <c r="AA600" s="1">
        <v>8434</v>
      </c>
      <c r="AB600" s="1">
        <v>68</v>
      </c>
      <c r="AC600" s="29">
        <v>2220</v>
      </c>
    </row>
    <row r="601" spans="1:29">
      <c r="A601" s="12">
        <v>27</v>
      </c>
      <c r="B601" s="12" t="s">
        <v>460</v>
      </c>
      <c r="C601" s="12">
        <v>27615</v>
      </c>
      <c r="D601" s="12" t="s">
        <v>354</v>
      </c>
      <c r="E601" s="17">
        <v>0.94707449369323105</v>
      </c>
      <c r="F601" s="17">
        <v>5.2925506306768948E-2</v>
      </c>
      <c r="G601" s="13">
        <v>0.49156713945379676</v>
      </c>
      <c r="H601" s="13">
        <v>17.883636363636363</v>
      </c>
      <c r="I601" s="14">
        <v>10.346826313072373</v>
      </c>
      <c r="J601" s="16">
        <v>0.9506</v>
      </c>
      <c r="K601" s="16">
        <v>0.9506</v>
      </c>
      <c r="L601" s="13">
        <v>0.2205</v>
      </c>
      <c r="M601" s="13">
        <v>1.49E-2</v>
      </c>
      <c r="N601" s="13">
        <v>0.12330000000000001</v>
      </c>
      <c r="O601" s="13">
        <v>9.3299999999999994E-2</v>
      </c>
      <c r="P601" s="16">
        <v>0.41969999999999996</v>
      </c>
      <c r="Q601" s="16">
        <v>2.58E-2</v>
      </c>
      <c r="R601" s="16">
        <v>0.98140000000000005</v>
      </c>
      <c r="S601" s="16">
        <f t="shared" si="20"/>
        <v>0.47563333333333335</v>
      </c>
      <c r="T601" s="18">
        <v>0.42367311950853598</v>
      </c>
      <c r="U601" s="1">
        <v>17.569546119999998</v>
      </c>
      <c r="V601" s="1">
        <f t="shared" si="19"/>
        <v>2.9215229334934856</v>
      </c>
      <c r="W601" s="25"/>
      <c r="X601">
        <v>1.6199999999999999E-2</v>
      </c>
      <c r="Y601" s="1">
        <v>3.3E-3</v>
      </c>
      <c r="Z601" s="1">
        <v>3.3E-3</v>
      </c>
      <c r="AA601" s="1">
        <v>30082</v>
      </c>
      <c r="AB601" s="1">
        <v>472</v>
      </c>
      <c r="AC601" s="29">
        <v>6256</v>
      </c>
    </row>
    <row r="602" spans="1:29" ht="25.5">
      <c r="A602" s="12">
        <v>27</v>
      </c>
      <c r="B602" s="12" t="s">
        <v>460</v>
      </c>
      <c r="C602" s="12">
        <v>27660</v>
      </c>
      <c r="D602" s="12" t="s">
        <v>486</v>
      </c>
      <c r="E602" s="17">
        <v>0.97545454545454546</v>
      </c>
      <c r="F602" s="17">
        <v>2.4545454545454544E-2</v>
      </c>
      <c r="G602" s="13">
        <v>0.77233631736001407</v>
      </c>
      <c r="H602" s="13">
        <v>39.376146788990823</v>
      </c>
      <c r="I602" s="14">
        <v>8.3895870668110906</v>
      </c>
      <c r="J602" s="16">
        <v>0.68400000000000005</v>
      </c>
      <c r="K602" s="16">
        <v>0.68400000000000005</v>
      </c>
      <c r="L602" s="13">
        <v>0.2172</v>
      </c>
      <c r="M602" s="13">
        <v>5.8599999999999999E-2</v>
      </c>
      <c r="N602" s="13">
        <v>0.13089999999999999</v>
      </c>
      <c r="O602" s="13">
        <v>9.3200000000000005E-2</v>
      </c>
      <c r="P602" s="16">
        <v>0.64410000000000001</v>
      </c>
      <c r="Q602" s="16">
        <v>0.64410000000000001</v>
      </c>
      <c r="R602" s="16">
        <v>0.64410000000000001</v>
      </c>
      <c r="S602" s="16">
        <f t="shared" si="20"/>
        <v>0.64410000000000001</v>
      </c>
      <c r="T602" s="18">
        <v>0.40835509138381199</v>
      </c>
      <c r="U602" s="1">
        <v>14.925373130000001</v>
      </c>
      <c r="V602" s="1">
        <f t="shared" si="19"/>
        <v>2.7679136316389972</v>
      </c>
      <c r="W602" s="26"/>
      <c r="X602">
        <v>2.2100000000000002E-2</v>
      </c>
      <c r="Y602" s="1">
        <v>1.2999999999999999E-3</v>
      </c>
      <c r="Z602" s="1">
        <v>1.2999999999999999E-3</v>
      </c>
      <c r="AA602" s="1">
        <v>5164</v>
      </c>
      <c r="AB602" s="1">
        <v>67</v>
      </c>
      <c r="AC602" s="29">
        <v>1338</v>
      </c>
    </row>
    <row r="603" spans="1:29">
      <c r="A603" s="12">
        <v>27</v>
      </c>
      <c r="B603" s="12" t="s">
        <v>460</v>
      </c>
      <c r="C603" s="12">
        <v>27745</v>
      </c>
      <c r="D603" s="12" t="s">
        <v>487</v>
      </c>
      <c r="E603" s="17">
        <v>0.96895424836601307</v>
      </c>
      <c r="F603" s="17">
        <v>3.1045751633986929E-2</v>
      </c>
      <c r="G603" s="13">
        <v>1</v>
      </c>
      <c r="H603" s="13">
        <v>30.939130434782609</v>
      </c>
      <c r="I603" s="14">
        <v>8.2087640458196667</v>
      </c>
      <c r="J603" s="16">
        <v>0.6734</v>
      </c>
      <c r="K603" s="16">
        <v>0.6734</v>
      </c>
      <c r="L603" s="13">
        <v>0.13170000000000001</v>
      </c>
      <c r="M603" s="13">
        <v>1.4800000000000001E-2</v>
      </c>
      <c r="N603" s="13">
        <v>0.1411</v>
      </c>
      <c r="O603" s="13">
        <v>0.13039999999999999</v>
      </c>
      <c r="P603" s="16">
        <v>0.57999999999999996</v>
      </c>
      <c r="Q603" s="16">
        <v>0.8862000000000001</v>
      </c>
      <c r="R603" s="16">
        <v>0.72499999999999998</v>
      </c>
      <c r="S603" s="16">
        <f t="shared" si="20"/>
        <v>0.73040000000000005</v>
      </c>
      <c r="T603" s="18">
        <v>0.81172584640792711</v>
      </c>
      <c r="U603" s="1">
        <v>0</v>
      </c>
      <c r="V603" s="1">
        <f t="shared" si="19"/>
        <v>0</v>
      </c>
      <c r="W603" s="25"/>
      <c r="X603">
        <v>5.0299999999999997E-2</v>
      </c>
      <c r="Y603" s="1">
        <v>0</v>
      </c>
      <c r="Z603" s="1">
        <v>0</v>
      </c>
      <c r="AA603" s="1">
        <v>3325</v>
      </c>
      <c r="AB603" s="1">
        <v>35</v>
      </c>
      <c r="AC603" s="29">
        <v>969</v>
      </c>
    </row>
    <row r="604" spans="1:29">
      <c r="A604" s="12">
        <v>27</v>
      </c>
      <c r="B604" s="12" t="s">
        <v>460</v>
      </c>
      <c r="C604" s="12">
        <v>27787</v>
      </c>
      <c r="D604" s="12" t="s">
        <v>488</v>
      </c>
      <c r="E604" s="17">
        <v>0.94958150657632523</v>
      </c>
      <c r="F604" s="17">
        <v>5.0418493423674771E-2</v>
      </c>
      <c r="G604" s="13">
        <v>0.99593132876848267</v>
      </c>
      <c r="H604" s="13">
        <v>18.815399802566635</v>
      </c>
      <c r="I604" s="14">
        <v>9.9071309074509273</v>
      </c>
      <c r="J604" s="16">
        <v>1.0750999999999999</v>
      </c>
      <c r="K604" s="16">
        <v>1.0750999999999999</v>
      </c>
      <c r="L604" s="13">
        <v>0.5333</v>
      </c>
      <c r="M604" s="13">
        <v>1.8100000000000002E-2</v>
      </c>
      <c r="N604" s="13">
        <v>0.1144</v>
      </c>
      <c r="O604" s="13">
        <v>5.5100000000000003E-2</v>
      </c>
      <c r="P604" s="16">
        <v>0.70019999999999993</v>
      </c>
      <c r="Q604" s="16">
        <v>0.52880000000000005</v>
      </c>
      <c r="R604" s="16">
        <v>0.83279999999999998</v>
      </c>
      <c r="S604" s="16">
        <f t="shared" si="20"/>
        <v>0.68726666666666658</v>
      </c>
      <c r="T604" s="18">
        <v>0.80352733686067002</v>
      </c>
      <c r="U604" s="1">
        <v>67.307692309999993</v>
      </c>
      <c r="V604" s="1">
        <f t="shared" si="19"/>
        <v>4.2240223855644174</v>
      </c>
      <c r="W604" s="26"/>
      <c r="X604">
        <v>3.4700000000000002E-2</v>
      </c>
      <c r="Y604" s="1">
        <v>2.5700000000000001E-2</v>
      </c>
      <c r="Z604" s="1">
        <v>2.5399999999999999E-2</v>
      </c>
      <c r="AA604" s="1">
        <v>19134</v>
      </c>
      <c r="AB604" s="1">
        <v>208</v>
      </c>
      <c r="AC604" s="29">
        <v>4886</v>
      </c>
    </row>
    <row r="605" spans="1:29">
      <c r="A605" s="12">
        <v>27</v>
      </c>
      <c r="B605" s="12" t="s">
        <v>460</v>
      </c>
      <c r="C605" s="12">
        <v>27800</v>
      </c>
      <c r="D605" s="12" t="s">
        <v>489</v>
      </c>
      <c r="E605" s="17">
        <v>0.97609118710036136</v>
      </c>
      <c r="F605" s="17">
        <v>2.3908812899638587E-2</v>
      </c>
      <c r="G605" s="13">
        <v>0.74159851556594047</v>
      </c>
      <c r="H605" s="13">
        <v>40.667953667953668</v>
      </c>
      <c r="I605" s="14">
        <v>9.286560397887591</v>
      </c>
      <c r="J605" s="16">
        <v>0.90980000000000005</v>
      </c>
      <c r="K605" s="16">
        <v>0.90980000000000005</v>
      </c>
      <c r="L605" s="13">
        <v>0.28639999999999999</v>
      </c>
      <c r="M605" s="13">
        <v>7.4499999999999997E-2</v>
      </c>
      <c r="N605" s="13">
        <v>0.13300000000000001</v>
      </c>
      <c r="O605" s="13">
        <v>9.06E-2</v>
      </c>
      <c r="P605" s="16">
        <v>0.84819999999999995</v>
      </c>
      <c r="Q605" s="16">
        <v>0.52200000000000002</v>
      </c>
      <c r="R605" s="16">
        <v>0.98470000000000002</v>
      </c>
      <c r="S605" s="16">
        <f t="shared" si="20"/>
        <v>0.7849666666666667</v>
      </c>
      <c r="T605" s="18">
        <v>1</v>
      </c>
      <c r="U605" s="1">
        <v>6.4102564099999997</v>
      </c>
      <c r="V605" s="1">
        <f t="shared" si="19"/>
        <v>2.0028650419481835</v>
      </c>
      <c r="W605" s="25"/>
      <c r="X605">
        <v>1.8599999999999998E-2</v>
      </c>
      <c r="Y605" s="1">
        <v>6.1000000000000004E-3</v>
      </c>
      <c r="Z605" s="1">
        <v>6.1000000000000004E-3</v>
      </c>
      <c r="AA605" s="1">
        <v>12703</v>
      </c>
      <c r="AB605" s="1">
        <v>156</v>
      </c>
      <c r="AC605" s="29">
        <v>3716</v>
      </c>
    </row>
    <row r="606" spans="1:29" ht="25.5">
      <c r="A606" s="12">
        <v>27</v>
      </c>
      <c r="B606" s="12" t="s">
        <v>460</v>
      </c>
      <c r="C606" s="12">
        <v>27810</v>
      </c>
      <c r="D606" s="12" t="s">
        <v>490</v>
      </c>
      <c r="E606" s="17">
        <v>0.94524010109519796</v>
      </c>
      <c r="F606" s="17">
        <v>5.4759898904802019E-2</v>
      </c>
      <c r="G606" s="13">
        <v>0.79217832354511475</v>
      </c>
      <c r="H606" s="13">
        <v>17.208588957055216</v>
      </c>
      <c r="I606" s="14">
        <v>8.6887907848472157</v>
      </c>
      <c r="J606" s="16">
        <v>0.92689999999999995</v>
      </c>
      <c r="K606" s="16">
        <v>0.92689999999999995</v>
      </c>
      <c r="L606" s="13">
        <v>0.39929999999999999</v>
      </c>
      <c r="M606" s="13">
        <v>5.9299999999999999E-2</v>
      </c>
      <c r="N606" s="13">
        <v>0.10780000000000001</v>
      </c>
      <c r="O606" s="13">
        <v>8.4500000000000006E-2</v>
      </c>
      <c r="P606" s="16">
        <v>0</v>
      </c>
      <c r="Q606" s="16">
        <v>0</v>
      </c>
      <c r="R606" s="16">
        <v>0</v>
      </c>
      <c r="S606" s="16">
        <f t="shared" si="20"/>
        <v>0</v>
      </c>
      <c r="T606" s="18">
        <v>0.84489795918367305</v>
      </c>
      <c r="U606" s="1">
        <v>20.833333329999999</v>
      </c>
      <c r="V606" s="1">
        <f t="shared" si="19"/>
        <v>3.0834378538204246</v>
      </c>
      <c r="W606" s="26"/>
      <c r="X606">
        <v>2.7300000000000001E-2</v>
      </c>
      <c r="Y606" s="1">
        <v>3.7600000000000001E-2</v>
      </c>
      <c r="Z606" s="1">
        <v>3.6900000000000002E-2</v>
      </c>
      <c r="AA606" s="1">
        <v>7202</v>
      </c>
      <c r="AB606" s="1">
        <v>96</v>
      </c>
      <c r="AC606" s="29">
        <v>1666</v>
      </c>
    </row>
    <row r="607" spans="1:29">
      <c r="A607" s="12">
        <v>41</v>
      </c>
      <c r="B607" s="12" t="s">
        <v>642</v>
      </c>
      <c r="C607" s="12">
        <v>41001</v>
      </c>
      <c r="D607" s="12" t="s">
        <v>660</v>
      </c>
      <c r="E607" s="17">
        <v>0.52674191176810581</v>
      </c>
      <c r="F607" s="17">
        <v>0.47325115248923805</v>
      </c>
      <c r="G607" s="13">
        <v>1</v>
      </c>
      <c r="H607" s="13">
        <v>1.1130228331916641</v>
      </c>
      <c r="I607" s="14">
        <v>12.977437022377353</v>
      </c>
      <c r="J607" s="16">
        <v>0.90300000000000002</v>
      </c>
      <c r="K607" s="16">
        <v>0.90069999999999995</v>
      </c>
      <c r="L607" s="13">
        <v>0.5081</v>
      </c>
      <c r="M607" s="13">
        <v>5.7500000000000002E-2</v>
      </c>
      <c r="N607" s="13">
        <v>9.1399999999999995E-2</v>
      </c>
      <c r="O607" s="13">
        <v>7.9799999999999996E-2</v>
      </c>
      <c r="P607" s="16">
        <v>0.92220000000000002</v>
      </c>
      <c r="Q607" s="16">
        <v>0.91959999999999997</v>
      </c>
      <c r="R607" s="16"/>
      <c r="S607" s="16">
        <f t="shared" si="20"/>
        <v>0.61393333333333333</v>
      </c>
      <c r="T607" s="18">
        <v>1</v>
      </c>
      <c r="U607" s="1">
        <v>6.6964285710000002</v>
      </c>
      <c r="V607" s="1">
        <f t="shared" si="19"/>
        <v>2.0407563993129143</v>
      </c>
      <c r="W607" s="25"/>
      <c r="X607">
        <v>0.217</v>
      </c>
      <c r="Y607" s="1">
        <v>1.6524000000000001</v>
      </c>
      <c r="Z607" s="1">
        <v>0.97550000000000003</v>
      </c>
      <c r="AA607" s="1">
        <v>396442</v>
      </c>
      <c r="AB607" s="1">
        <v>4032</v>
      </c>
      <c r="AC607" s="29">
        <v>72591</v>
      </c>
    </row>
    <row r="608" spans="1:29">
      <c r="A608" s="12">
        <v>41</v>
      </c>
      <c r="B608" s="12" t="s">
        <v>642</v>
      </c>
      <c r="C608" s="12">
        <v>41006</v>
      </c>
      <c r="D608" s="12" t="s">
        <v>643</v>
      </c>
      <c r="E608" s="17">
        <v>0.95501335410638777</v>
      </c>
      <c r="F608" s="17">
        <v>4.4986645893612287E-2</v>
      </c>
      <c r="G608" s="13">
        <v>1</v>
      </c>
      <c r="H608" s="13">
        <v>21.215698393077872</v>
      </c>
      <c r="I608" s="14">
        <v>10.489745271417972</v>
      </c>
      <c r="J608" s="16">
        <v>1.0383</v>
      </c>
      <c r="K608" s="16">
        <v>1.0383</v>
      </c>
      <c r="L608" s="13">
        <v>0.52910000000000001</v>
      </c>
      <c r="M608" s="13">
        <v>4.6399999999999997E-2</v>
      </c>
      <c r="N608" s="13">
        <v>5.3999999999999999E-2</v>
      </c>
      <c r="O608" s="13">
        <v>2.9700000000000001E-2</v>
      </c>
      <c r="P608" s="16">
        <v>0.31690000000000002</v>
      </c>
      <c r="Q608" s="16">
        <v>0.16850000000000001</v>
      </c>
      <c r="R608" s="16">
        <v>0.16850000000000001</v>
      </c>
      <c r="S608" s="16">
        <f t="shared" si="20"/>
        <v>0.21796666666666667</v>
      </c>
      <c r="T608" s="18">
        <v>1</v>
      </c>
      <c r="U608" s="1">
        <v>4.2643923240000001</v>
      </c>
      <c r="V608" s="1">
        <f t="shared" si="19"/>
        <v>1.6609657208810791</v>
      </c>
      <c r="W608" s="25"/>
      <c r="X608">
        <v>2.06E-2</v>
      </c>
      <c r="Y608" s="1">
        <v>7.46E-2</v>
      </c>
      <c r="Z608" s="1">
        <v>7.1999999999999995E-2</v>
      </c>
      <c r="AA608" s="1">
        <v>25976</v>
      </c>
      <c r="AB608" s="1">
        <v>469</v>
      </c>
      <c r="AC608" s="29">
        <v>7038</v>
      </c>
    </row>
    <row r="609" spans="1:29">
      <c r="A609" s="12">
        <v>41</v>
      </c>
      <c r="B609" s="12" t="s">
        <v>642</v>
      </c>
      <c r="C609" s="12">
        <v>41013</v>
      </c>
      <c r="D609" s="12" t="s">
        <v>644</v>
      </c>
      <c r="E609" s="17">
        <v>0.89091098169717142</v>
      </c>
      <c r="F609" s="17">
        <v>0.10908901830282862</v>
      </c>
      <c r="G609" s="13">
        <v>1</v>
      </c>
      <c r="H609" s="13">
        <v>8.1590476190476195</v>
      </c>
      <c r="I609" s="14">
        <v>9.171287644712482</v>
      </c>
      <c r="J609" s="16">
        <v>0.82079999999999997</v>
      </c>
      <c r="K609" s="16">
        <v>0.82079999999999997</v>
      </c>
      <c r="L609" s="13">
        <v>0.3866</v>
      </c>
      <c r="M609" s="13">
        <v>2.1999999999999999E-2</v>
      </c>
      <c r="N609" s="13">
        <v>7.9299999999999995E-2</v>
      </c>
      <c r="O609" s="13">
        <v>7.2300000000000003E-2</v>
      </c>
      <c r="P609" s="16">
        <v>0.99900000000000011</v>
      </c>
      <c r="Q609" s="16">
        <v>0.98640000000000005</v>
      </c>
      <c r="R609" s="16">
        <v>0.9869</v>
      </c>
      <c r="S609" s="16">
        <f t="shared" si="20"/>
        <v>0.99076666666666668</v>
      </c>
      <c r="T609" s="18">
        <v>1</v>
      </c>
      <c r="U609" s="1">
        <v>0</v>
      </c>
      <c r="V609" s="1">
        <f t="shared" si="19"/>
        <v>0</v>
      </c>
      <c r="W609" s="26"/>
      <c r="X609">
        <v>4.5900000000000003E-2</v>
      </c>
      <c r="Y609" s="1">
        <v>7.3099999999999998E-2</v>
      </c>
      <c r="Z609" s="1">
        <v>7.0599999999999996E-2</v>
      </c>
      <c r="AA609" s="1">
        <v>9282</v>
      </c>
      <c r="AB609" s="1">
        <v>97</v>
      </c>
      <c r="AC609" s="29">
        <v>2202</v>
      </c>
    </row>
    <row r="610" spans="1:29">
      <c r="A610" s="12">
        <v>41</v>
      </c>
      <c r="B610" s="12" t="s">
        <v>642</v>
      </c>
      <c r="C610" s="12">
        <v>41016</v>
      </c>
      <c r="D610" s="12" t="s">
        <v>645</v>
      </c>
      <c r="E610" s="17">
        <v>0.81008474066951142</v>
      </c>
      <c r="F610" s="17">
        <v>0.18991525933048861</v>
      </c>
      <c r="G610" s="13">
        <v>0.94825326266598275</v>
      </c>
      <c r="H610" s="13">
        <v>4.2641569123695033</v>
      </c>
      <c r="I610" s="14">
        <v>9.7195647143751991</v>
      </c>
      <c r="J610" s="16">
        <v>0.81410000000000005</v>
      </c>
      <c r="K610" s="16">
        <v>0.81410000000000005</v>
      </c>
      <c r="L610" s="13">
        <v>0.46279999999999999</v>
      </c>
      <c r="M610" s="13">
        <v>5.3199999999999997E-2</v>
      </c>
      <c r="N610" s="13">
        <v>7.6399999999999996E-2</v>
      </c>
      <c r="O610" s="13">
        <v>6.0699999999999997E-2</v>
      </c>
      <c r="P610" s="16">
        <v>0.86280000000000001</v>
      </c>
      <c r="Q610" s="16">
        <v>0.86280000000000001</v>
      </c>
      <c r="R610" s="16">
        <v>0.80330000000000001</v>
      </c>
      <c r="S610" s="16">
        <f t="shared" si="20"/>
        <v>0.84296666666666675</v>
      </c>
      <c r="T610" s="18">
        <v>1</v>
      </c>
      <c r="U610" s="1">
        <v>11.11111111</v>
      </c>
      <c r="V610" s="1">
        <f t="shared" si="19"/>
        <v>2.4941233048011813</v>
      </c>
      <c r="W610" s="25"/>
      <c r="X610">
        <v>0.18079999999999999</v>
      </c>
      <c r="Y610" s="1">
        <v>0.29609999999999997</v>
      </c>
      <c r="Z610" s="1">
        <v>0.25940000000000002</v>
      </c>
      <c r="AA610" s="1">
        <v>17200</v>
      </c>
      <c r="AB610" s="1">
        <v>180</v>
      </c>
      <c r="AC610" s="29">
        <v>3958</v>
      </c>
    </row>
    <row r="611" spans="1:29">
      <c r="A611" s="12">
        <v>41</v>
      </c>
      <c r="B611" s="12" t="s">
        <v>642</v>
      </c>
      <c r="C611" s="12">
        <v>41020</v>
      </c>
      <c r="D611" s="12" t="s">
        <v>646</v>
      </c>
      <c r="E611" s="17">
        <v>0.9283772207531007</v>
      </c>
      <c r="F611" s="17">
        <v>7.1622779246899332E-2</v>
      </c>
      <c r="G611" s="13">
        <v>1</v>
      </c>
      <c r="H611" s="13">
        <v>12.955301455301456</v>
      </c>
      <c r="I611" s="14">
        <v>10.19802109993701</v>
      </c>
      <c r="J611" s="16">
        <v>0.76729999999999998</v>
      </c>
      <c r="K611" s="16">
        <v>0.76729999999999998</v>
      </c>
      <c r="L611" s="13">
        <v>0.3952</v>
      </c>
      <c r="M611" s="13">
        <v>3.1699999999999999E-2</v>
      </c>
      <c r="N611" s="13">
        <v>6.3600000000000004E-2</v>
      </c>
      <c r="O611" s="13">
        <v>7.3599999999999999E-2</v>
      </c>
      <c r="P611" s="16">
        <v>0.76870000000000005</v>
      </c>
      <c r="Q611" s="16">
        <v>0.70889999999999997</v>
      </c>
      <c r="R611" s="16">
        <v>0.70689999999999997</v>
      </c>
      <c r="S611" s="16">
        <f t="shared" si="20"/>
        <v>0.72816666666666663</v>
      </c>
      <c r="T611" s="18">
        <v>0.89582853191979694</v>
      </c>
      <c r="U611" s="1">
        <v>0</v>
      </c>
      <c r="V611" s="1">
        <f t="shared" si="19"/>
        <v>0</v>
      </c>
      <c r="W611" s="26"/>
      <c r="X611">
        <v>2.35E-2</v>
      </c>
      <c r="Y611" s="1">
        <v>0.1336</v>
      </c>
      <c r="Z611" s="1">
        <v>0.12540000000000001</v>
      </c>
      <c r="AA611" s="1">
        <v>22769</v>
      </c>
      <c r="AB611" s="1">
        <v>253</v>
      </c>
      <c r="AC611" s="29">
        <v>5439</v>
      </c>
    </row>
    <row r="612" spans="1:29">
      <c r="A612" s="12">
        <v>41</v>
      </c>
      <c r="B612" s="12" t="s">
        <v>642</v>
      </c>
      <c r="C612" s="12">
        <v>41026</v>
      </c>
      <c r="D612" s="12" t="s">
        <v>647</v>
      </c>
      <c r="E612" s="17">
        <v>0.8581363004172462</v>
      </c>
      <c r="F612" s="17">
        <v>0.14186369958275383</v>
      </c>
      <c r="G612" s="13">
        <v>0.62494567579313343</v>
      </c>
      <c r="H612" s="13">
        <v>6.0342298288508553</v>
      </c>
      <c r="I612" s="14">
        <v>7.9645033635515476</v>
      </c>
      <c r="J612" s="16">
        <v>0.66969999999999996</v>
      </c>
      <c r="K612" s="16">
        <v>0.66969999999999996</v>
      </c>
      <c r="L612" s="13">
        <v>0.3775</v>
      </c>
      <c r="M612" s="13">
        <v>4.1300000000000003E-2</v>
      </c>
      <c r="N612" s="13">
        <v>7.6200000000000004E-2</v>
      </c>
      <c r="O612" s="13">
        <v>5.8700000000000002E-2</v>
      </c>
      <c r="P612" s="16">
        <v>0.95480000000000009</v>
      </c>
      <c r="Q612" s="16">
        <v>0.85739999999999994</v>
      </c>
      <c r="R612" s="16">
        <v>0.91189999999999993</v>
      </c>
      <c r="S612" s="16">
        <f t="shared" si="20"/>
        <v>0.90803333333333336</v>
      </c>
      <c r="T612" s="18">
        <v>1</v>
      </c>
      <c r="U612" s="1">
        <v>0</v>
      </c>
      <c r="V612" s="1">
        <f t="shared" si="19"/>
        <v>0</v>
      </c>
      <c r="W612" s="25"/>
      <c r="X612">
        <v>8.5900000000000004E-2</v>
      </c>
      <c r="Y612" s="1">
        <v>0.2424</v>
      </c>
      <c r="Z612" s="1">
        <v>0.21709999999999999</v>
      </c>
      <c r="AA612" s="1">
        <v>4710</v>
      </c>
      <c r="AB612" s="1">
        <v>28</v>
      </c>
      <c r="AC612" s="29">
        <v>946</v>
      </c>
    </row>
    <row r="613" spans="1:29">
      <c r="A613" s="12">
        <v>41</v>
      </c>
      <c r="B613" s="12" t="s">
        <v>642</v>
      </c>
      <c r="C613" s="12">
        <v>41078</v>
      </c>
      <c r="D613" s="12" t="s">
        <v>648</v>
      </c>
      <c r="E613" s="17">
        <v>0.91175581746751289</v>
      </c>
      <c r="F613" s="17">
        <v>8.8244182532487156E-2</v>
      </c>
      <c r="G613" s="13">
        <v>0.73787490244174381</v>
      </c>
      <c r="H613" s="13">
        <v>10.314529914529915</v>
      </c>
      <c r="I613" s="14">
        <v>8.7976995801189233</v>
      </c>
      <c r="J613" s="16">
        <v>0.5625</v>
      </c>
      <c r="K613" s="16">
        <v>0.5625</v>
      </c>
      <c r="L613" s="13">
        <v>0.219</v>
      </c>
      <c r="M613" s="13">
        <v>4.19E-2</v>
      </c>
      <c r="N613" s="13">
        <v>6.4199999999999993E-2</v>
      </c>
      <c r="O613" s="13">
        <v>0.1061</v>
      </c>
      <c r="P613" s="16">
        <v>0</v>
      </c>
      <c r="Q613" s="16">
        <v>0</v>
      </c>
      <c r="R613" s="16">
        <v>0</v>
      </c>
      <c r="S613" s="16">
        <f t="shared" si="20"/>
        <v>0</v>
      </c>
      <c r="T613" s="18">
        <v>0.64076636508781204</v>
      </c>
      <c r="U613" s="1">
        <v>0</v>
      </c>
      <c r="V613" s="1">
        <f t="shared" si="19"/>
        <v>0</v>
      </c>
      <c r="W613" s="26"/>
      <c r="X613">
        <v>2.1999999999999999E-2</v>
      </c>
      <c r="Y613" s="1">
        <v>3.0700000000000002E-2</v>
      </c>
      <c r="Z613" s="1">
        <v>3.0300000000000001E-2</v>
      </c>
      <c r="AA613" s="1">
        <v>8221</v>
      </c>
      <c r="AB613" s="1">
        <v>49</v>
      </c>
      <c r="AC613" s="29">
        <v>1831</v>
      </c>
    </row>
    <row r="614" spans="1:29">
      <c r="A614" s="12">
        <v>41</v>
      </c>
      <c r="B614" s="12" t="s">
        <v>642</v>
      </c>
      <c r="C614" s="12">
        <v>41132</v>
      </c>
      <c r="D614" s="12" t="s">
        <v>649</v>
      </c>
      <c r="E614" s="17">
        <v>0.78665025063758687</v>
      </c>
      <c r="F614" s="17">
        <v>0.2133204350247706</v>
      </c>
      <c r="G614" s="13">
        <v>1</v>
      </c>
      <c r="H614" s="13">
        <v>3.6871393239901074</v>
      </c>
      <c r="I614" s="14">
        <v>10.437463136200819</v>
      </c>
      <c r="J614" s="16">
        <v>0.79090000000000005</v>
      </c>
      <c r="K614" s="16">
        <v>0.79069999999999996</v>
      </c>
      <c r="L614" s="13">
        <v>0.36020000000000002</v>
      </c>
      <c r="M614" s="13">
        <v>3.8800000000000001E-2</v>
      </c>
      <c r="N614" s="13">
        <v>8.2100000000000006E-2</v>
      </c>
      <c r="O614" s="13">
        <v>7.0099999999999996E-2</v>
      </c>
      <c r="P614" s="16">
        <v>0.67510000000000003</v>
      </c>
      <c r="Q614" s="16">
        <v>0.67510000000000003</v>
      </c>
      <c r="R614" s="16">
        <v>0.67510000000000003</v>
      </c>
      <c r="S614" s="16">
        <f t="shared" si="20"/>
        <v>0.67510000000000003</v>
      </c>
      <c r="T614" s="18">
        <v>0.875</v>
      </c>
      <c r="U614" s="1">
        <v>3.225806452</v>
      </c>
      <c r="V614" s="1">
        <f t="shared" si="19"/>
        <v>1.4412101188076085</v>
      </c>
      <c r="W614" s="25"/>
      <c r="X614">
        <v>8.4000000000000005E-2</v>
      </c>
      <c r="Y614" s="1">
        <v>0.46110000000000001</v>
      </c>
      <c r="Z614" s="1">
        <v>0.37919999999999998</v>
      </c>
      <c r="AA614" s="1">
        <v>31873</v>
      </c>
      <c r="AB614" s="1">
        <v>310</v>
      </c>
      <c r="AC614" s="29">
        <v>6711</v>
      </c>
    </row>
    <row r="615" spans="1:29">
      <c r="A615" s="12">
        <v>41</v>
      </c>
      <c r="B615" s="12" t="s">
        <v>642</v>
      </c>
      <c r="C615" s="12">
        <v>41206</v>
      </c>
      <c r="D615" s="12" t="s">
        <v>650</v>
      </c>
      <c r="E615" s="17">
        <v>0.93132417655687427</v>
      </c>
      <c r="F615" s="17">
        <v>6.8675823443125755E-2</v>
      </c>
      <c r="G615" s="13">
        <v>0.96276800616253688</v>
      </c>
      <c r="H615" s="13">
        <v>13.534883720930232</v>
      </c>
      <c r="I615" s="14">
        <v>8.9226582995244019</v>
      </c>
      <c r="J615" s="16">
        <v>0.81489999999999996</v>
      </c>
      <c r="K615" s="16">
        <v>0.81489999999999996</v>
      </c>
      <c r="L615" s="13">
        <v>0.33600000000000002</v>
      </c>
      <c r="M615" s="13">
        <v>4.2099999999999999E-2</v>
      </c>
      <c r="N615" s="13">
        <v>6.2799999999999995E-2</v>
      </c>
      <c r="O615" s="13">
        <v>4.1399999999999999E-2</v>
      </c>
      <c r="P615" s="16">
        <v>0.43079999999999996</v>
      </c>
      <c r="Q615" s="16">
        <v>0.1724</v>
      </c>
      <c r="R615" s="16">
        <v>0.10539999999999999</v>
      </c>
      <c r="S615" s="16">
        <f t="shared" si="20"/>
        <v>0.23619999999999997</v>
      </c>
      <c r="T615" s="18">
        <v>0.77743484224965698</v>
      </c>
      <c r="U615" s="1">
        <v>15.625</v>
      </c>
      <c r="V615" s="1">
        <f t="shared" si="19"/>
        <v>2.810907586541918</v>
      </c>
      <c r="W615" s="26"/>
      <c r="X615">
        <v>1.5900000000000001E-2</v>
      </c>
      <c r="Y615" s="1">
        <v>8.3999999999999995E-3</v>
      </c>
      <c r="Z615" s="1">
        <v>8.3000000000000001E-3</v>
      </c>
      <c r="AA615" s="1">
        <v>7666</v>
      </c>
      <c r="AB615" s="1">
        <v>64</v>
      </c>
      <c r="AC615" s="29">
        <v>1700</v>
      </c>
    </row>
    <row r="616" spans="1:29">
      <c r="A616" s="12">
        <v>41</v>
      </c>
      <c r="B616" s="12" t="s">
        <v>642</v>
      </c>
      <c r="C616" s="12">
        <v>41244</v>
      </c>
      <c r="D616" s="12" t="s">
        <v>651</v>
      </c>
      <c r="E616" s="17">
        <v>0.90717997165800657</v>
      </c>
      <c r="F616" s="17">
        <v>9.2820028341993391E-2</v>
      </c>
      <c r="G616" s="13">
        <v>0.92405063291139244</v>
      </c>
      <c r="H616" s="13">
        <v>9.7487309644670059</v>
      </c>
      <c r="I616" s="14">
        <v>8.3511386070861544</v>
      </c>
      <c r="J616" s="16">
        <v>0.74370000000000003</v>
      </c>
      <c r="K616" s="16">
        <v>0.74370000000000003</v>
      </c>
      <c r="L616" s="13">
        <v>0.3659</v>
      </c>
      <c r="M616" s="13">
        <v>1.89E-2</v>
      </c>
      <c r="N616" s="13">
        <v>5.67E-2</v>
      </c>
      <c r="O616" s="13">
        <v>6.7500000000000004E-2</v>
      </c>
      <c r="P616" s="16">
        <v>0.97329999999999994</v>
      </c>
      <c r="Q616" s="16">
        <v>0.61450000000000005</v>
      </c>
      <c r="R616" s="16">
        <v>0.8970999999999999</v>
      </c>
      <c r="S616" s="16">
        <f t="shared" si="20"/>
        <v>0.82830000000000004</v>
      </c>
      <c r="T616" s="18">
        <v>0.764269829503335</v>
      </c>
      <c r="U616" s="1">
        <v>26.315789469999999</v>
      </c>
      <c r="V616" s="1">
        <f t="shared" si="19"/>
        <v>3.3074649038645734</v>
      </c>
      <c r="W616" s="25"/>
      <c r="X616">
        <v>4.0800000000000003E-2</v>
      </c>
      <c r="Y616" s="1">
        <v>9.7100000000000006E-2</v>
      </c>
      <c r="Z616" s="1">
        <v>9.2700000000000005E-2</v>
      </c>
      <c r="AA616" s="1">
        <v>4683</v>
      </c>
      <c r="AB616" s="1">
        <v>38</v>
      </c>
      <c r="AC616" s="29">
        <v>1026</v>
      </c>
    </row>
    <row r="617" spans="1:29">
      <c r="A617" s="12">
        <v>41</v>
      </c>
      <c r="B617" s="12" t="s">
        <v>642</v>
      </c>
      <c r="C617" s="12">
        <v>41298</v>
      </c>
      <c r="D617" s="12" t="s">
        <v>652</v>
      </c>
      <c r="E617" s="17">
        <v>0.78640369282417122</v>
      </c>
      <c r="F617" s="17">
        <v>0.21358496557825135</v>
      </c>
      <c r="G617" s="13">
        <v>1</v>
      </c>
      <c r="H617" s="13">
        <v>3.6817288801571708</v>
      </c>
      <c r="I617" s="14">
        <v>11.387044731276228</v>
      </c>
      <c r="J617" s="16">
        <v>0.86329999999999996</v>
      </c>
      <c r="K617" s="16">
        <v>0.86329999999999996</v>
      </c>
      <c r="L617" s="13">
        <v>0.5091</v>
      </c>
      <c r="M617" s="13">
        <v>3.9600000000000003E-2</v>
      </c>
      <c r="N617" s="13">
        <v>6.2300000000000001E-2</v>
      </c>
      <c r="O617" s="13">
        <v>6.08E-2</v>
      </c>
      <c r="P617" s="16">
        <v>0.65529999999999999</v>
      </c>
      <c r="Q617" s="16">
        <v>0.65069999999999995</v>
      </c>
      <c r="R617" s="16">
        <v>0.59</v>
      </c>
      <c r="S617" s="16">
        <f t="shared" si="20"/>
        <v>0.63200000000000001</v>
      </c>
      <c r="T617" s="18">
        <v>0.96869681047879796</v>
      </c>
      <c r="U617" s="1">
        <v>6.1425061430000003</v>
      </c>
      <c r="V617" s="1">
        <f t="shared" si="19"/>
        <v>1.9660637151854243</v>
      </c>
      <c r="W617" s="26"/>
      <c r="X617">
        <v>7.1800000000000003E-2</v>
      </c>
      <c r="Y617" s="1">
        <v>0.50409999999999999</v>
      </c>
      <c r="Z617" s="1">
        <v>0.40820000000000001</v>
      </c>
      <c r="AA617" s="1">
        <v>76079</v>
      </c>
      <c r="AB617" s="1">
        <v>814</v>
      </c>
      <c r="AC617" s="29">
        <v>17631</v>
      </c>
    </row>
    <row r="618" spans="1:29">
      <c r="A618" s="12">
        <v>41</v>
      </c>
      <c r="B618" s="12" t="s">
        <v>642</v>
      </c>
      <c r="C618" s="12">
        <v>41306</v>
      </c>
      <c r="D618" s="12" t="s">
        <v>653</v>
      </c>
      <c r="E618" s="17">
        <v>0.84422546314544733</v>
      </c>
      <c r="F618" s="17">
        <v>0.15577453685455261</v>
      </c>
      <c r="G618" s="13">
        <v>0.95318605350165309</v>
      </c>
      <c r="H618" s="13">
        <v>5.4181634201871995</v>
      </c>
      <c r="I618" s="14">
        <v>10.141362068450333</v>
      </c>
      <c r="J618" s="16">
        <v>0.86399999999999999</v>
      </c>
      <c r="K618" s="16">
        <v>0.86399999999999999</v>
      </c>
      <c r="L618" s="13">
        <v>0.53169999999999995</v>
      </c>
      <c r="M618" s="13">
        <v>4.4400000000000002E-2</v>
      </c>
      <c r="N618" s="13">
        <v>5.5500000000000001E-2</v>
      </c>
      <c r="O618" s="13">
        <v>5.1999999999999998E-2</v>
      </c>
      <c r="P618" s="16">
        <v>0.33899999999999997</v>
      </c>
      <c r="Q618" s="16">
        <v>0.33</v>
      </c>
      <c r="R618" s="16">
        <v>0.29870000000000002</v>
      </c>
      <c r="S618" s="16">
        <f t="shared" si="20"/>
        <v>0.32256666666666667</v>
      </c>
      <c r="T618" s="18">
        <v>0.87024922118379999</v>
      </c>
      <c r="U618" s="1">
        <v>8.2987551869999994</v>
      </c>
      <c r="V618" s="1">
        <f t="shared" si="19"/>
        <v>2.2298805403401691</v>
      </c>
      <c r="W618" s="25"/>
      <c r="X618">
        <v>5.1900000000000002E-2</v>
      </c>
      <c r="Y618" s="1">
        <v>0.3271</v>
      </c>
      <c r="Z618" s="1">
        <v>0.28299999999999997</v>
      </c>
      <c r="AA618" s="1">
        <v>23760</v>
      </c>
      <c r="AB618" s="1">
        <v>241</v>
      </c>
      <c r="AC618" s="29">
        <v>5334</v>
      </c>
    </row>
    <row r="619" spans="1:29">
      <c r="A619" s="12">
        <v>41</v>
      </c>
      <c r="B619" s="12" t="s">
        <v>642</v>
      </c>
      <c r="C619" s="12">
        <v>41319</v>
      </c>
      <c r="D619" s="12" t="s">
        <v>65</v>
      </c>
      <c r="E619" s="17">
        <v>0.92766416556323872</v>
      </c>
      <c r="F619" s="17">
        <v>7.2335834436761323E-2</v>
      </c>
      <c r="G619" s="13">
        <v>1</v>
      </c>
      <c r="H619" s="13">
        <v>12.815718157181571</v>
      </c>
      <c r="I619" s="14">
        <v>9.9228979460559508</v>
      </c>
      <c r="J619" s="16">
        <v>0.80759999999999998</v>
      </c>
      <c r="K619" s="16">
        <v>0.80759999999999998</v>
      </c>
      <c r="L619" s="13">
        <v>0.41449999999999998</v>
      </c>
      <c r="M619" s="13">
        <v>3.0800000000000001E-2</v>
      </c>
      <c r="N619" s="13">
        <v>7.0800000000000002E-2</v>
      </c>
      <c r="O619" s="13">
        <v>4.8300000000000003E-2</v>
      </c>
      <c r="P619" s="16">
        <v>0.93330000000000002</v>
      </c>
      <c r="Q619" s="16">
        <v>0.83260000000000001</v>
      </c>
      <c r="R619" s="16">
        <v>0.88680000000000003</v>
      </c>
      <c r="S619" s="16">
        <f t="shared" si="20"/>
        <v>0.88423333333333343</v>
      </c>
      <c r="T619" s="18">
        <v>0.91129032258064502</v>
      </c>
      <c r="U619" s="1">
        <v>0</v>
      </c>
      <c r="V619" s="1">
        <f t="shared" si="19"/>
        <v>0</v>
      </c>
      <c r="W619" s="26"/>
      <c r="X619">
        <v>2.5999999999999999E-2</v>
      </c>
      <c r="Y619" s="1">
        <v>9.35E-2</v>
      </c>
      <c r="Z619" s="1">
        <v>8.9399999999999993E-2</v>
      </c>
      <c r="AA619" s="1">
        <v>18490</v>
      </c>
      <c r="AB619" s="1">
        <v>238</v>
      </c>
      <c r="AC619" s="29">
        <v>4511</v>
      </c>
    </row>
    <row r="620" spans="1:29">
      <c r="A620" s="12">
        <v>41</v>
      </c>
      <c r="B620" s="12" t="s">
        <v>642</v>
      </c>
      <c r="C620" s="12">
        <v>41349</v>
      </c>
      <c r="D620" s="12" t="s">
        <v>654</v>
      </c>
      <c r="E620" s="17">
        <v>0.79036755386565272</v>
      </c>
      <c r="F620" s="17">
        <v>0.20963244613434728</v>
      </c>
      <c r="G620" s="13">
        <v>1</v>
      </c>
      <c r="H620" s="13">
        <v>3.7679758308157099</v>
      </c>
      <c r="I620" s="14">
        <v>8.9734781485210355</v>
      </c>
      <c r="J620" s="16">
        <v>0.80530000000000002</v>
      </c>
      <c r="K620" s="16">
        <v>0.80530000000000002</v>
      </c>
      <c r="L620" s="13">
        <v>0.30690000000000001</v>
      </c>
      <c r="M620" s="13">
        <v>3.9100000000000003E-2</v>
      </c>
      <c r="N620" s="13">
        <v>6.93E-2</v>
      </c>
      <c r="O620" s="13">
        <v>8.1699999999999995E-2</v>
      </c>
      <c r="P620" s="16">
        <v>1</v>
      </c>
      <c r="Q620" s="16">
        <v>1</v>
      </c>
      <c r="R620" s="16">
        <v>1</v>
      </c>
      <c r="S620" s="16">
        <f t="shared" si="20"/>
        <v>1</v>
      </c>
      <c r="T620" s="18">
        <v>0.95364238410596003</v>
      </c>
      <c r="U620" s="1">
        <v>10.52631579</v>
      </c>
      <c r="V620" s="1">
        <f t="shared" si="19"/>
        <v>2.4446327506957224</v>
      </c>
      <c r="W620" s="25"/>
      <c r="X620">
        <v>0.1111</v>
      </c>
      <c r="Y620" s="1">
        <v>0.27850000000000003</v>
      </c>
      <c r="Z620" s="1">
        <v>0.2457</v>
      </c>
      <c r="AA620" s="1">
        <v>7995</v>
      </c>
      <c r="AB620" s="1">
        <v>95</v>
      </c>
      <c r="AC620" s="29">
        <v>1837</v>
      </c>
    </row>
    <row r="621" spans="1:29">
      <c r="A621" s="12">
        <v>41</v>
      </c>
      <c r="B621" s="12" t="s">
        <v>642</v>
      </c>
      <c r="C621" s="12">
        <v>41357</v>
      </c>
      <c r="D621" s="12" t="s">
        <v>655</v>
      </c>
      <c r="E621" s="17">
        <v>0.92317235268054942</v>
      </c>
      <c r="F621" s="17">
        <v>7.6827647319450604E-2</v>
      </c>
      <c r="G621" s="13">
        <v>1</v>
      </c>
      <c r="H621" s="13">
        <v>12.002304147465438</v>
      </c>
      <c r="I621" s="14">
        <v>9.3313182985290855</v>
      </c>
      <c r="J621" s="16">
        <v>0.90200000000000002</v>
      </c>
      <c r="K621" s="16">
        <v>0.90200000000000002</v>
      </c>
      <c r="L621" s="13">
        <v>0.36159999999999998</v>
      </c>
      <c r="M621" s="13">
        <v>5.1999999999999998E-2</v>
      </c>
      <c r="N621" s="13">
        <v>9.0700000000000003E-2</v>
      </c>
      <c r="O621" s="13">
        <v>8.43E-2</v>
      </c>
      <c r="P621" s="16">
        <v>0.80030000000000001</v>
      </c>
      <c r="Q621" s="16">
        <v>0.46329999999999999</v>
      </c>
      <c r="R621" s="16">
        <v>0.4657</v>
      </c>
      <c r="S621" s="16">
        <f t="shared" si="20"/>
        <v>0.57643333333333335</v>
      </c>
      <c r="T621" s="18">
        <v>0.91362126245847097</v>
      </c>
      <c r="U621" s="1">
        <v>18.98734177</v>
      </c>
      <c r="V621" s="1">
        <f t="shared" si="19"/>
        <v>2.9950991616809577</v>
      </c>
      <c r="W621" s="26"/>
      <c r="X621">
        <v>2.9600000000000001E-2</v>
      </c>
      <c r="Y621" s="1">
        <v>5.2699999999999997E-2</v>
      </c>
      <c r="Z621" s="1">
        <v>5.1299999999999998E-2</v>
      </c>
      <c r="AA621" s="1">
        <v>9715</v>
      </c>
      <c r="AB621" s="1">
        <v>158</v>
      </c>
      <c r="AC621" s="29">
        <v>2383</v>
      </c>
    </row>
    <row r="622" spans="1:29">
      <c r="A622" s="12">
        <v>41</v>
      </c>
      <c r="B622" s="12" t="s">
        <v>642</v>
      </c>
      <c r="C622" s="12">
        <v>41359</v>
      </c>
      <c r="D622" s="12" t="s">
        <v>656</v>
      </c>
      <c r="E622" s="17">
        <v>0.9369753453632097</v>
      </c>
      <c r="F622" s="17">
        <v>6.3024654636790273E-2</v>
      </c>
      <c r="G622" s="13">
        <v>1</v>
      </c>
      <c r="H622" s="13">
        <v>14.859014675052411</v>
      </c>
      <c r="I622" s="14">
        <v>10.317548939869649</v>
      </c>
      <c r="J622" s="16">
        <v>0.87380000000000002</v>
      </c>
      <c r="K622" s="16">
        <v>0.87380000000000002</v>
      </c>
      <c r="L622" s="13">
        <v>0.42899999999999999</v>
      </c>
      <c r="M622" s="13">
        <v>4.3999999999999997E-2</v>
      </c>
      <c r="N622" s="13">
        <v>4.8500000000000001E-2</v>
      </c>
      <c r="O622" s="13">
        <v>3.6799999999999999E-2</v>
      </c>
      <c r="P622" s="16">
        <v>0.86019999999999996</v>
      </c>
      <c r="Q622" s="16">
        <v>0.45409999999999995</v>
      </c>
      <c r="R622" s="16">
        <v>0.81310000000000004</v>
      </c>
      <c r="S622" s="16">
        <f t="shared" si="20"/>
        <v>0.70913333333333328</v>
      </c>
      <c r="T622" s="18">
        <v>0.99549617174598393</v>
      </c>
      <c r="U622" s="1">
        <v>13.114754100000001</v>
      </c>
      <c r="V622" s="1">
        <f t="shared" si="19"/>
        <v>2.6472206403705636</v>
      </c>
      <c r="W622" s="25"/>
      <c r="X622">
        <v>3.85E-2</v>
      </c>
      <c r="Y622" s="1">
        <v>0.1081</v>
      </c>
      <c r="Z622" s="1">
        <v>0.1027</v>
      </c>
      <c r="AA622" s="1">
        <v>26521</v>
      </c>
      <c r="AB622" s="1">
        <v>305</v>
      </c>
      <c r="AC622" s="29">
        <v>6031</v>
      </c>
    </row>
    <row r="623" spans="1:29">
      <c r="A623" s="12">
        <v>41</v>
      </c>
      <c r="B623" s="12" t="s">
        <v>642</v>
      </c>
      <c r="C623" s="12">
        <v>41378</v>
      </c>
      <c r="D623" s="12" t="s">
        <v>657</v>
      </c>
      <c r="E623" s="17">
        <v>0.94100826754522282</v>
      </c>
      <c r="F623" s="17">
        <v>5.8991732454777152E-2</v>
      </c>
      <c r="G623" s="13">
        <v>1</v>
      </c>
      <c r="H623" s="13">
        <v>15.934736842105263</v>
      </c>
      <c r="I623" s="14">
        <v>9.6858289314524875</v>
      </c>
      <c r="J623" s="16">
        <v>0.8306</v>
      </c>
      <c r="K623" s="16">
        <v>0.8306</v>
      </c>
      <c r="L623" s="13">
        <v>0.40189999999999998</v>
      </c>
      <c r="M623" s="13">
        <v>4.7800000000000002E-2</v>
      </c>
      <c r="N623" s="13">
        <v>0.1094</v>
      </c>
      <c r="O623" s="13">
        <v>0.1215</v>
      </c>
      <c r="P623" s="16">
        <v>0.39979999999999999</v>
      </c>
      <c r="Q623" s="16">
        <v>0.38579999999999998</v>
      </c>
      <c r="R623" s="16">
        <v>0.38579999999999998</v>
      </c>
      <c r="S623" s="16">
        <f t="shared" si="20"/>
        <v>0.39046666666666668</v>
      </c>
      <c r="T623" s="18">
        <v>0.79748085947147407</v>
      </c>
      <c r="U623" s="1">
        <v>0</v>
      </c>
      <c r="V623" s="1">
        <f t="shared" si="19"/>
        <v>0</v>
      </c>
      <c r="W623" s="26"/>
      <c r="X623">
        <v>3.4200000000000001E-2</v>
      </c>
      <c r="Y623" s="1">
        <v>0.10150000000000001</v>
      </c>
      <c r="Z623" s="1">
        <v>9.6699999999999994E-2</v>
      </c>
      <c r="AA623" s="1">
        <v>13876</v>
      </c>
      <c r="AB623" s="1">
        <v>149</v>
      </c>
      <c r="AC623" s="29">
        <v>3465</v>
      </c>
    </row>
    <row r="624" spans="1:29">
      <c r="A624" s="12">
        <v>41</v>
      </c>
      <c r="B624" s="12" t="s">
        <v>642</v>
      </c>
      <c r="C624" s="12">
        <v>41396</v>
      </c>
      <c r="D624" s="12" t="s">
        <v>658</v>
      </c>
      <c r="E624" s="17">
        <v>0.85189547192817161</v>
      </c>
      <c r="F624" s="17">
        <v>0.14810452807182842</v>
      </c>
      <c r="G624" s="13">
        <v>1</v>
      </c>
      <c r="H624" s="13">
        <v>5.7514499532273149</v>
      </c>
      <c r="I624" s="14">
        <v>11.186821293721147</v>
      </c>
      <c r="J624" s="16">
        <v>0.84809999999999997</v>
      </c>
      <c r="K624" s="16">
        <v>0.84789999999999999</v>
      </c>
      <c r="L624" s="13">
        <v>0.46260000000000001</v>
      </c>
      <c r="M624" s="13">
        <v>3.2099999999999997E-2</v>
      </c>
      <c r="N624" s="13">
        <v>5.8299999999999998E-2</v>
      </c>
      <c r="O624" s="13">
        <v>5.9299999999999999E-2</v>
      </c>
      <c r="P624" s="16">
        <v>0.5111</v>
      </c>
      <c r="Q624" s="16">
        <v>0.49689999999999995</v>
      </c>
      <c r="R624" s="16">
        <v>0.49689999999999995</v>
      </c>
      <c r="S624" s="16">
        <f t="shared" si="20"/>
        <v>0.50163333333333326</v>
      </c>
      <c r="T624" s="18">
        <v>1</v>
      </c>
      <c r="U624" s="1">
        <v>19.583843330000001</v>
      </c>
      <c r="V624" s="1">
        <f t="shared" si="19"/>
        <v>3.0245064636990198</v>
      </c>
      <c r="W624" s="25"/>
      <c r="X624">
        <v>4.8899999999999999E-2</v>
      </c>
      <c r="Y624" s="1">
        <v>0.18390000000000001</v>
      </c>
      <c r="Z624" s="1">
        <v>0.16880000000000001</v>
      </c>
      <c r="AA624" s="1">
        <v>67536</v>
      </c>
      <c r="AB624" s="1">
        <v>817</v>
      </c>
      <c r="AC624" s="29">
        <v>16725</v>
      </c>
    </row>
    <row r="625" spans="1:29">
      <c r="A625" s="12">
        <v>41</v>
      </c>
      <c r="B625" s="12" t="s">
        <v>642</v>
      </c>
      <c r="C625" s="12">
        <v>41483</v>
      </c>
      <c r="D625" s="12" t="s">
        <v>659</v>
      </c>
      <c r="E625" s="17">
        <v>0.91041200894282981</v>
      </c>
      <c r="F625" s="17">
        <v>8.9587991057170233E-2</v>
      </c>
      <c r="G625" s="13">
        <v>0.8910073989755265</v>
      </c>
      <c r="H625" s="13">
        <v>10.144128113879004</v>
      </c>
      <c r="I625" s="14">
        <v>8.7424145825254129</v>
      </c>
      <c r="J625" s="16">
        <v>0.86109999999999998</v>
      </c>
      <c r="K625" s="16">
        <v>0.86109999999999998</v>
      </c>
      <c r="L625" s="13">
        <v>0.41959999999999997</v>
      </c>
      <c r="M625" s="13">
        <v>3.1800000000000002E-2</v>
      </c>
      <c r="N625" s="13">
        <v>5.91E-2</v>
      </c>
      <c r="O625" s="13">
        <v>6.9400000000000003E-2</v>
      </c>
      <c r="P625" s="16">
        <v>0.72160000000000002</v>
      </c>
      <c r="Q625" s="16">
        <v>0.72319999999999995</v>
      </c>
      <c r="R625" s="16">
        <v>0.72319999999999995</v>
      </c>
      <c r="S625" s="16">
        <f t="shared" si="20"/>
        <v>0.72266666666666657</v>
      </c>
      <c r="T625" s="18">
        <v>0.86637931034482707</v>
      </c>
      <c r="U625" s="1">
        <v>0</v>
      </c>
      <c r="V625" s="1">
        <f t="shared" si="19"/>
        <v>0</v>
      </c>
      <c r="W625" s="26"/>
      <c r="X625">
        <v>2.3800000000000002E-2</v>
      </c>
      <c r="Y625" s="1">
        <v>0.121</v>
      </c>
      <c r="Z625" s="1">
        <v>0.1142</v>
      </c>
      <c r="AA625" s="1">
        <v>7007</v>
      </c>
      <c r="AB625" s="1">
        <v>103</v>
      </c>
      <c r="AC625" s="29">
        <v>1766</v>
      </c>
    </row>
    <row r="626" spans="1:29">
      <c r="A626" s="12">
        <v>41</v>
      </c>
      <c r="B626" s="12" t="s">
        <v>642</v>
      </c>
      <c r="C626" s="12">
        <v>41503</v>
      </c>
      <c r="D626" s="12" t="s">
        <v>661</v>
      </c>
      <c r="E626" s="17">
        <v>0.93633638371726091</v>
      </c>
      <c r="F626" s="17">
        <v>6.3663616282739033E-2</v>
      </c>
      <c r="G626" s="13">
        <v>0.99803165105109837</v>
      </c>
      <c r="H626" s="13">
        <v>14.689356435643564</v>
      </c>
      <c r="I626" s="14">
        <v>9.4475446069387274</v>
      </c>
      <c r="J626" s="16">
        <v>0.7339</v>
      </c>
      <c r="K626" s="16">
        <v>0.7339</v>
      </c>
      <c r="L626" s="13">
        <v>0.48530000000000001</v>
      </c>
      <c r="M626" s="13">
        <v>3.27E-2</v>
      </c>
      <c r="N626" s="13">
        <v>3.39E-2</v>
      </c>
      <c r="O626" s="13">
        <v>4.87E-2</v>
      </c>
      <c r="P626" s="16">
        <v>0.2359</v>
      </c>
      <c r="Q626" s="16">
        <v>0.21260000000000001</v>
      </c>
      <c r="R626" s="16">
        <v>0.21260000000000001</v>
      </c>
      <c r="S626" s="16">
        <f t="shared" si="20"/>
        <v>0.22036666666666668</v>
      </c>
      <c r="T626" s="18">
        <v>0.84117816921744093</v>
      </c>
      <c r="U626" s="1">
        <v>17.543859650000002</v>
      </c>
      <c r="V626" s="1">
        <f t="shared" si="19"/>
        <v>2.9201387180829914</v>
      </c>
      <c r="W626" s="26"/>
      <c r="X626">
        <v>9.5999999999999992E-3</v>
      </c>
      <c r="Y626" s="1">
        <v>0.1055</v>
      </c>
      <c r="Z626" s="1">
        <v>0.1003</v>
      </c>
      <c r="AA626" s="1">
        <v>12309</v>
      </c>
      <c r="AB626" s="1">
        <v>171</v>
      </c>
      <c r="AC626" s="29">
        <v>3397</v>
      </c>
    </row>
    <row r="627" spans="1:29">
      <c r="A627" s="12">
        <v>41</v>
      </c>
      <c r="B627" s="12" t="s">
        <v>642</v>
      </c>
      <c r="C627" s="12">
        <v>41518</v>
      </c>
      <c r="D627" s="12" t="s">
        <v>662</v>
      </c>
      <c r="E627" s="17">
        <v>0.87195571955719553</v>
      </c>
      <c r="F627" s="17">
        <v>0.12804428044280441</v>
      </c>
      <c r="G627" s="13">
        <v>0.755505993866741</v>
      </c>
      <c r="H627" s="13">
        <v>6.8</v>
      </c>
      <c r="I627" s="14">
        <v>8.5980355792603387</v>
      </c>
      <c r="J627" s="16">
        <v>0.72319999999999995</v>
      </c>
      <c r="K627" s="16">
        <v>0.72319999999999995</v>
      </c>
      <c r="L627" s="13">
        <v>0.51119999999999999</v>
      </c>
      <c r="M627" s="13">
        <v>4.07E-2</v>
      </c>
      <c r="N627" s="13">
        <v>4.6399999999999997E-2</v>
      </c>
      <c r="O627" s="13">
        <v>3.0099999999999998E-2</v>
      </c>
      <c r="P627" s="16">
        <v>0.43030000000000002</v>
      </c>
      <c r="Q627" s="16">
        <v>0.43030000000000002</v>
      </c>
      <c r="R627" s="16">
        <v>0.43030000000000002</v>
      </c>
      <c r="S627" s="16">
        <f t="shared" si="20"/>
        <v>0.43030000000000007</v>
      </c>
      <c r="T627" s="18">
        <v>1</v>
      </c>
      <c r="U627" s="1">
        <v>0</v>
      </c>
      <c r="V627" s="1">
        <f t="shared" si="19"/>
        <v>0</v>
      </c>
      <c r="W627" s="25"/>
      <c r="X627">
        <v>7.2800000000000004E-2</v>
      </c>
      <c r="Y627" s="1">
        <v>0.27879999999999999</v>
      </c>
      <c r="Z627" s="1">
        <v>0.24590000000000001</v>
      </c>
      <c r="AA627" s="1">
        <v>7546</v>
      </c>
      <c r="AB627" s="1">
        <v>60</v>
      </c>
      <c r="AC627" s="29">
        <v>1787</v>
      </c>
    </row>
    <row r="628" spans="1:29">
      <c r="A628" s="12">
        <v>41</v>
      </c>
      <c r="B628" s="12" t="s">
        <v>642</v>
      </c>
      <c r="C628" s="12">
        <v>41524</v>
      </c>
      <c r="D628" s="12" t="s">
        <v>663</v>
      </c>
      <c r="E628" s="17">
        <v>0.82714395099540583</v>
      </c>
      <c r="F628" s="17">
        <v>0.17285604900459417</v>
      </c>
      <c r="G628" s="13">
        <v>0.73137097056455846</v>
      </c>
      <c r="H628" s="13">
        <v>4.7838361472460562</v>
      </c>
      <c r="I628" s="14">
        <v>9.947360886980098</v>
      </c>
      <c r="J628" s="16">
        <v>1.04</v>
      </c>
      <c r="K628" s="16">
        <v>1.0335000000000001</v>
      </c>
      <c r="L628" s="13">
        <v>0.53849999999999998</v>
      </c>
      <c r="M628" s="13">
        <v>4.5699999999999998E-2</v>
      </c>
      <c r="N628" s="13">
        <v>9.4100000000000003E-2</v>
      </c>
      <c r="O628" s="13">
        <v>0.10630000000000001</v>
      </c>
      <c r="P628" s="16">
        <v>0.49920000000000003</v>
      </c>
      <c r="Q628" s="16">
        <v>0.48799999999999999</v>
      </c>
      <c r="R628" s="16">
        <v>0.48799999999999999</v>
      </c>
      <c r="S628" s="16">
        <f t="shared" si="20"/>
        <v>0.49173333333333336</v>
      </c>
      <c r="T628" s="18">
        <v>1</v>
      </c>
      <c r="U628" s="1">
        <v>11.857707509999999</v>
      </c>
      <c r="V628" s="1">
        <f t="shared" si="19"/>
        <v>2.5539434377550534</v>
      </c>
      <c r="W628" s="26"/>
      <c r="X628">
        <v>0.32469999999999999</v>
      </c>
      <c r="Y628" s="1">
        <v>0.39050000000000001</v>
      </c>
      <c r="Z628" s="1">
        <v>0.32969999999999999</v>
      </c>
      <c r="AA628" s="1">
        <v>26677</v>
      </c>
      <c r="AB628" s="1">
        <v>253</v>
      </c>
      <c r="AC628" s="29">
        <v>5630</v>
      </c>
    </row>
    <row r="629" spans="1:29">
      <c r="A629" s="12">
        <v>41</v>
      </c>
      <c r="B629" s="12" t="s">
        <v>642</v>
      </c>
      <c r="C629" s="12">
        <v>41530</v>
      </c>
      <c r="D629" s="12" t="s">
        <v>352</v>
      </c>
      <c r="E629" s="17">
        <v>0.9453453921721503</v>
      </c>
      <c r="F629" s="17">
        <v>5.4654607827849679E-2</v>
      </c>
      <c r="G629" s="13">
        <v>1</v>
      </c>
      <c r="H629" s="13">
        <v>17.272079772079771</v>
      </c>
      <c r="I629" s="14">
        <v>9.45930760329985</v>
      </c>
      <c r="J629" s="16">
        <v>0.82210000000000005</v>
      </c>
      <c r="K629" s="16">
        <v>0.82210000000000005</v>
      </c>
      <c r="L629" s="13">
        <v>0.41110000000000002</v>
      </c>
      <c r="M629" s="13">
        <v>3.9300000000000002E-2</v>
      </c>
      <c r="N629" s="13">
        <v>5.8700000000000002E-2</v>
      </c>
      <c r="O629" s="13">
        <v>4.1500000000000002E-2</v>
      </c>
      <c r="P629" s="16">
        <v>0.63170000000000004</v>
      </c>
      <c r="Q629" s="16">
        <v>0.3125</v>
      </c>
      <c r="R629" s="16">
        <v>0.3125</v>
      </c>
      <c r="S629" s="16">
        <f t="shared" si="20"/>
        <v>0.41889999999999999</v>
      </c>
      <c r="T629" s="18">
        <v>1</v>
      </c>
      <c r="U629" s="1">
        <v>0</v>
      </c>
      <c r="V629" s="1">
        <f t="shared" si="19"/>
        <v>0</v>
      </c>
      <c r="W629" s="25"/>
      <c r="X629">
        <v>1.2800000000000001E-2</v>
      </c>
      <c r="Y629" s="1">
        <v>5.6599999999999998E-2</v>
      </c>
      <c r="Z629" s="1">
        <v>5.5100000000000003E-2</v>
      </c>
      <c r="AA629" s="1">
        <v>11821</v>
      </c>
      <c r="AB629" s="1">
        <v>132</v>
      </c>
      <c r="AC629" s="29">
        <v>2883</v>
      </c>
    </row>
    <row r="630" spans="1:29">
      <c r="A630" s="12">
        <v>41</v>
      </c>
      <c r="B630" s="12" t="s">
        <v>642</v>
      </c>
      <c r="C630" s="12">
        <v>41548</v>
      </c>
      <c r="D630" s="12" t="s">
        <v>664</v>
      </c>
      <c r="E630" s="17">
        <v>0.91829471452370137</v>
      </c>
      <c r="F630" s="17">
        <v>8.1705285476298656E-2</v>
      </c>
      <c r="G630" s="13">
        <v>0.88240010690899373</v>
      </c>
      <c r="H630" s="13">
        <v>11.228703703703705</v>
      </c>
      <c r="I630" s="14">
        <v>9.4885022710438047</v>
      </c>
      <c r="J630" s="16">
        <v>0.90139999999999998</v>
      </c>
      <c r="K630" s="16">
        <v>0.90110000000000001</v>
      </c>
      <c r="L630" s="13">
        <v>0.4879</v>
      </c>
      <c r="M630" s="13">
        <v>3.0700000000000002E-2</v>
      </c>
      <c r="N630" s="13">
        <v>5.9700000000000003E-2</v>
      </c>
      <c r="O630" s="13">
        <v>7.8399999999999997E-2</v>
      </c>
      <c r="P630" s="16">
        <v>0.37130000000000002</v>
      </c>
      <c r="Q630" s="16">
        <v>0.37130000000000002</v>
      </c>
      <c r="R630" s="16">
        <v>0.37130000000000002</v>
      </c>
      <c r="S630" s="16">
        <f t="shared" si="20"/>
        <v>0.37130000000000002</v>
      </c>
      <c r="T630" s="18">
        <v>0.96895424836601296</v>
      </c>
      <c r="U630" s="1">
        <v>0</v>
      </c>
      <c r="V630" s="1">
        <f t="shared" si="19"/>
        <v>0</v>
      </c>
      <c r="W630" s="26"/>
      <c r="X630">
        <v>2.1499999999999998E-2</v>
      </c>
      <c r="Y630" s="1">
        <v>0.1086</v>
      </c>
      <c r="Z630" s="1">
        <v>0.1031</v>
      </c>
      <c r="AA630" s="1">
        <v>14641</v>
      </c>
      <c r="AB630" s="1">
        <v>157</v>
      </c>
      <c r="AC630" s="29">
        <v>3684</v>
      </c>
    </row>
    <row r="631" spans="1:29">
      <c r="A631" s="12">
        <v>41</v>
      </c>
      <c r="B631" s="12" t="s">
        <v>642</v>
      </c>
      <c r="C631" s="12">
        <v>41551</v>
      </c>
      <c r="D631" s="12" t="s">
        <v>665</v>
      </c>
      <c r="E631" s="17">
        <v>0.76507712219623114</v>
      </c>
      <c r="F631" s="17">
        <v>0.2349110037165893</v>
      </c>
      <c r="G631" s="13">
        <v>1</v>
      </c>
      <c r="H631" s="13">
        <v>3.2567984229680551</v>
      </c>
      <c r="I631" s="14">
        <v>12.034305197674749</v>
      </c>
      <c r="J631" s="16">
        <v>0.98229999999999995</v>
      </c>
      <c r="K631" s="16">
        <v>0.98199999999999998</v>
      </c>
      <c r="L631" s="13">
        <v>0.43769999999999998</v>
      </c>
      <c r="M631" s="13">
        <v>4.6399999999999997E-2</v>
      </c>
      <c r="N631" s="13">
        <v>9.2299999999999993E-2</v>
      </c>
      <c r="O631" s="13">
        <v>8.1199999999999994E-2</v>
      </c>
      <c r="P631" s="16">
        <v>0.9577</v>
      </c>
      <c r="Q631" s="16">
        <v>0.65480000000000005</v>
      </c>
      <c r="R631" s="16">
        <v>0.65480000000000005</v>
      </c>
      <c r="S631" s="16">
        <f t="shared" si="20"/>
        <v>0.7557666666666667</v>
      </c>
      <c r="T631" s="18">
        <v>1</v>
      </c>
      <c r="U631" s="1">
        <v>6.9370330840000003</v>
      </c>
      <c r="V631" s="1">
        <f t="shared" si="19"/>
        <v>2.0715395384256148</v>
      </c>
      <c r="W631" s="25"/>
      <c r="X631">
        <v>0.1018</v>
      </c>
      <c r="Y631" s="1">
        <v>0.91279999999999994</v>
      </c>
      <c r="Z631" s="1">
        <v>0.64859999999999995</v>
      </c>
      <c r="AA631" s="1">
        <v>140776</v>
      </c>
      <c r="AB631" s="1">
        <v>1874</v>
      </c>
      <c r="AC631" s="29">
        <v>31931</v>
      </c>
    </row>
    <row r="632" spans="1:29">
      <c r="A632" s="12">
        <v>41</v>
      </c>
      <c r="B632" s="12" t="s">
        <v>642</v>
      </c>
      <c r="C632" s="12">
        <v>41615</v>
      </c>
      <c r="D632" s="12" t="s">
        <v>666</v>
      </c>
      <c r="E632" s="17">
        <v>0.81700609484168274</v>
      </c>
      <c r="F632" s="17">
        <v>0.18299390515831723</v>
      </c>
      <c r="G632" s="13">
        <v>0.76275606621815706</v>
      </c>
      <c r="H632" s="13">
        <v>4.4634542501353547</v>
      </c>
      <c r="I632" s="14">
        <v>9.9125463970244745</v>
      </c>
      <c r="J632" s="16">
        <v>1.0250999999999999</v>
      </c>
      <c r="K632" s="16">
        <v>1.0233000000000001</v>
      </c>
      <c r="L632" s="13">
        <v>0.53420000000000001</v>
      </c>
      <c r="M632" s="13">
        <v>4.8500000000000001E-2</v>
      </c>
      <c r="N632" s="13">
        <v>0.1057</v>
      </c>
      <c r="O632" s="13">
        <v>0.1123</v>
      </c>
      <c r="P632" s="16">
        <v>0.52469999999999994</v>
      </c>
      <c r="Q632" s="16">
        <v>0.52469999999999994</v>
      </c>
      <c r="R632" s="16">
        <v>0.52469999999999994</v>
      </c>
      <c r="S632" s="16">
        <f t="shared" si="20"/>
        <v>0.52469999999999994</v>
      </c>
      <c r="T632" s="18">
        <v>1</v>
      </c>
      <c r="U632" s="1">
        <v>4.7169811319999999</v>
      </c>
      <c r="V632" s="1">
        <f t="shared" si="19"/>
        <v>1.7434408919440461</v>
      </c>
      <c r="W632" s="26"/>
      <c r="X632">
        <v>0.21149999999999999</v>
      </c>
      <c r="Y632" s="1">
        <v>0.92379999999999995</v>
      </c>
      <c r="Z632" s="1">
        <v>0.65429999999999999</v>
      </c>
      <c r="AA632" s="1">
        <v>28367</v>
      </c>
      <c r="AB632" s="1">
        <v>212</v>
      </c>
      <c r="AC632" s="29">
        <v>5672</v>
      </c>
    </row>
    <row r="633" spans="1:29">
      <c r="A633" s="12">
        <v>41</v>
      </c>
      <c r="B633" s="12" t="s">
        <v>642</v>
      </c>
      <c r="C633" s="12">
        <v>41660</v>
      </c>
      <c r="D633" s="12" t="s">
        <v>667</v>
      </c>
      <c r="E633" s="17">
        <v>0.94525729783741341</v>
      </c>
      <c r="F633" s="17">
        <v>5.4742702162586539E-2</v>
      </c>
      <c r="G633" s="13">
        <v>1</v>
      </c>
      <c r="H633" s="13">
        <v>17.244791666666668</v>
      </c>
      <c r="I633" s="14">
        <v>9.547669384317377</v>
      </c>
      <c r="J633" s="16">
        <v>0.86180000000000001</v>
      </c>
      <c r="K633" s="16">
        <v>0.86180000000000001</v>
      </c>
      <c r="L633" s="13">
        <v>0.3614</v>
      </c>
      <c r="M633" s="13">
        <v>5.21E-2</v>
      </c>
      <c r="N633" s="13">
        <v>6.54E-2</v>
      </c>
      <c r="O633" s="13">
        <v>9.9000000000000005E-2</v>
      </c>
      <c r="P633" s="16">
        <v>0.83860000000000001</v>
      </c>
      <c r="Q633" s="16">
        <v>0.32750000000000001</v>
      </c>
      <c r="R633" s="16">
        <v>0.1928</v>
      </c>
      <c r="S633" s="16">
        <f t="shared" si="20"/>
        <v>0.45296666666666674</v>
      </c>
      <c r="T633" s="18">
        <v>1</v>
      </c>
      <c r="U633" s="1">
        <v>5.6497175139999998</v>
      </c>
      <c r="V633" s="1">
        <f t="shared" si="19"/>
        <v>1.8945743746677559</v>
      </c>
      <c r="W633" s="25"/>
      <c r="X633">
        <v>2.4199999999999999E-2</v>
      </c>
      <c r="Y633" s="1">
        <v>5.7500000000000002E-2</v>
      </c>
      <c r="Z633" s="1">
        <v>5.5899999999999998E-2</v>
      </c>
      <c r="AA633" s="1">
        <v>10768</v>
      </c>
      <c r="AB633" s="1">
        <v>177</v>
      </c>
      <c r="AC633" s="29">
        <v>2867</v>
      </c>
    </row>
    <row r="634" spans="1:29">
      <c r="A634" s="12">
        <v>41</v>
      </c>
      <c r="B634" s="12" t="s">
        <v>642</v>
      </c>
      <c r="C634" s="12">
        <v>41668</v>
      </c>
      <c r="D634" s="12" t="s">
        <v>668</v>
      </c>
      <c r="E634" s="17">
        <v>0.9207986600377529</v>
      </c>
      <c r="F634" s="17">
        <v>7.9201339962247097E-2</v>
      </c>
      <c r="G634" s="13">
        <v>1</v>
      </c>
      <c r="H634" s="13">
        <v>11.622147651006712</v>
      </c>
      <c r="I634" s="14">
        <v>10.535131600502023</v>
      </c>
      <c r="J634" s="16">
        <v>0.84650000000000003</v>
      </c>
      <c r="K634" s="16">
        <v>0.84650000000000003</v>
      </c>
      <c r="L634" s="13">
        <v>0.47289999999999999</v>
      </c>
      <c r="M634" s="13">
        <v>3.6999999999999998E-2</v>
      </c>
      <c r="N634" s="13">
        <v>4.4299999999999999E-2</v>
      </c>
      <c r="O634" s="13">
        <v>4.2000000000000003E-2</v>
      </c>
      <c r="P634" s="16">
        <v>0.97270000000000001</v>
      </c>
      <c r="Q634" s="16">
        <v>0.94459999999999988</v>
      </c>
      <c r="R634" s="16">
        <v>0.84750000000000003</v>
      </c>
      <c r="S634" s="16">
        <f t="shared" si="20"/>
        <v>0.92160000000000009</v>
      </c>
      <c r="T634" s="18">
        <v>1</v>
      </c>
      <c r="U634" s="1">
        <v>6.6225165559999999</v>
      </c>
      <c r="V634" s="1">
        <f t="shared" si="19"/>
        <v>2.0311065718687309</v>
      </c>
      <c r="W634" s="26"/>
      <c r="X634">
        <v>2.81E-2</v>
      </c>
      <c r="Y634" s="1">
        <v>5.6399999999999999E-2</v>
      </c>
      <c r="Z634" s="1">
        <v>5.4899999999999997E-2</v>
      </c>
      <c r="AA634" s="1">
        <v>35620</v>
      </c>
      <c r="AB634" s="1">
        <v>302</v>
      </c>
      <c r="AC634" s="29">
        <v>7625</v>
      </c>
    </row>
    <row r="635" spans="1:29">
      <c r="A635" s="12">
        <v>41</v>
      </c>
      <c r="B635" s="12" t="s">
        <v>642</v>
      </c>
      <c r="C635" s="12">
        <v>41676</v>
      </c>
      <c r="D635" s="12" t="s">
        <v>298</v>
      </c>
      <c r="E635" s="17">
        <v>0.92942116477272729</v>
      </c>
      <c r="F635" s="17">
        <v>7.0578835227272721E-2</v>
      </c>
      <c r="G635" s="13">
        <v>0.99743203754538212</v>
      </c>
      <c r="H635" s="13">
        <v>13.152010050251256</v>
      </c>
      <c r="I635" s="14">
        <v>9.329455852866344</v>
      </c>
      <c r="J635" s="16">
        <v>0.8226</v>
      </c>
      <c r="K635" s="16">
        <v>0.8226</v>
      </c>
      <c r="L635" s="13">
        <v>0.48330000000000001</v>
      </c>
      <c r="M635" s="13">
        <v>3.9699999999999999E-2</v>
      </c>
      <c r="N635" s="13">
        <v>5.2600000000000001E-2</v>
      </c>
      <c r="O635" s="13">
        <v>4.5199999999999997E-2</v>
      </c>
      <c r="P635" s="16">
        <v>0.35759999999999997</v>
      </c>
      <c r="Q635" s="16">
        <v>0.35700000000000004</v>
      </c>
      <c r="R635" s="16">
        <v>0.3296</v>
      </c>
      <c r="S635" s="16">
        <f t="shared" si="20"/>
        <v>0.34806666666666669</v>
      </c>
      <c r="T635" s="18">
        <v>0.78587570621468894</v>
      </c>
      <c r="U635" s="1">
        <v>0</v>
      </c>
      <c r="V635" s="1">
        <f t="shared" si="19"/>
        <v>0</v>
      </c>
      <c r="W635" s="25"/>
      <c r="X635">
        <v>1.6899999999999998E-2</v>
      </c>
      <c r="Y635" s="1">
        <v>3.3099999999999997E-2</v>
      </c>
      <c r="Z635" s="1">
        <v>3.2599999999999997E-2</v>
      </c>
      <c r="AA635" s="1">
        <v>10740</v>
      </c>
      <c r="AB635" s="1">
        <v>119</v>
      </c>
      <c r="AC635" s="29">
        <v>2516</v>
      </c>
    </row>
    <row r="636" spans="1:29">
      <c r="A636" s="12">
        <v>41</v>
      </c>
      <c r="B636" s="12" t="s">
        <v>642</v>
      </c>
      <c r="C636" s="12">
        <v>41770</v>
      </c>
      <c r="D636" s="12" t="s">
        <v>669</v>
      </c>
      <c r="E636" s="17">
        <v>0.94603302456705596</v>
      </c>
      <c r="F636" s="17">
        <v>5.3966975432944021E-2</v>
      </c>
      <c r="G636" s="13">
        <v>1</v>
      </c>
      <c r="H636" s="13">
        <v>17.516778523489933</v>
      </c>
      <c r="I636" s="14">
        <v>10.119848151553505</v>
      </c>
      <c r="J636" s="16">
        <v>0.95130000000000003</v>
      </c>
      <c r="K636" s="16">
        <v>0.95109999999999995</v>
      </c>
      <c r="L636" s="13">
        <v>0.39979999999999999</v>
      </c>
      <c r="M636" s="13">
        <v>4.9599999999999998E-2</v>
      </c>
      <c r="N636" s="13">
        <v>8.8700000000000001E-2</v>
      </c>
      <c r="O636" s="13">
        <v>3.4799999999999998E-2</v>
      </c>
      <c r="P636" s="16">
        <v>0.59619999999999995</v>
      </c>
      <c r="Q636" s="16">
        <v>0.36909999999999998</v>
      </c>
      <c r="R636" s="16">
        <v>0.47740000000000005</v>
      </c>
      <c r="S636" s="16">
        <f t="shared" si="20"/>
        <v>0.48089999999999994</v>
      </c>
      <c r="T636" s="18">
        <v>0.80626661071478489</v>
      </c>
      <c r="U636" s="1">
        <v>6.25</v>
      </c>
      <c r="V636" s="1">
        <f t="shared" si="19"/>
        <v>1.9810014688665833</v>
      </c>
      <c r="W636" s="26"/>
      <c r="X636">
        <v>1.77E-2</v>
      </c>
      <c r="Y636" s="1">
        <v>0.11700000000000001</v>
      </c>
      <c r="Z636" s="1">
        <v>0.11070000000000001</v>
      </c>
      <c r="AA636" s="1">
        <v>25611</v>
      </c>
      <c r="AB636" s="1">
        <v>320</v>
      </c>
      <c r="AC636" s="29">
        <v>6179</v>
      </c>
    </row>
    <row r="637" spans="1:29">
      <c r="A637" s="12">
        <v>41</v>
      </c>
      <c r="B637" s="12" t="s">
        <v>642</v>
      </c>
      <c r="C637" s="12">
        <v>41791</v>
      </c>
      <c r="D637" s="12" t="s">
        <v>670</v>
      </c>
      <c r="E637" s="17">
        <v>0.9256974867419876</v>
      </c>
      <c r="F637" s="17">
        <v>7.4302513258012445E-2</v>
      </c>
      <c r="G637" s="13">
        <v>0.91242833850523331</v>
      </c>
      <c r="H637" s="13">
        <v>12.448837209302326</v>
      </c>
      <c r="I637" s="14">
        <v>9.7612901468263278</v>
      </c>
      <c r="J637" s="16">
        <v>0.74650000000000005</v>
      </c>
      <c r="K637" s="16">
        <v>0.74650000000000005</v>
      </c>
      <c r="L637" s="13">
        <v>0.41909999999999997</v>
      </c>
      <c r="M637" s="13">
        <v>4.4999999999999998E-2</v>
      </c>
      <c r="N637" s="13">
        <v>6.7500000000000004E-2</v>
      </c>
      <c r="O637" s="13">
        <v>7.7200000000000005E-2</v>
      </c>
      <c r="P637" s="16">
        <v>0.46100000000000002</v>
      </c>
      <c r="Q637" s="16">
        <v>0.31340000000000001</v>
      </c>
      <c r="R637" s="16">
        <v>0.28370000000000001</v>
      </c>
      <c r="S637" s="16">
        <f t="shared" si="20"/>
        <v>0.35270000000000001</v>
      </c>
      <c r="T637" s="18">
        <v>0.840839107005388</v>
      </c>
      <c r="U637" s="1">
        <v>11.11111111</v>
      </c>
      <c r="V637" s="1">
        <f t="shared" si="19"/>
        <v>2.4941233048011813</v>
      </c>
      <c r="W637" s="25"/>
      <c r="X637">
        <v>1.89E-2</v>
      </c>
      <c r="Y637" s="1">
        <v>9.69E-2</v>
      </c>
      <c r="Z637" s="1">
        <v>9.2499999999999999E-2</v>
      </c>
      <c r="AA637" s="1">
        <v>18649</v>
      </c>
      <c r="AB637" s="1">
        <v>180</v>
      </c>
      <c r="AC637" s="29">
        <v>4596</v>
      </c>
    </row>
    <row r="638" spans="1:29">
      <c r="A638" s="12">
        <v>41</v>
      </c>
      <c r="B638" s="12" t="s">
        <v>642</v>
      </c>
      <c r="C638" s="12">
        <v>41797</v>
      </c>
      <c r="D638" s="12" t="s">
        <v>673</v>
      </c>
      <c r="E638" s="17">
        <v>0.82127203662218762</v>
      </c>
      <c r="F638" s="17">
        <v>0.17872796337781241</v>
      </c>
      <c r="G638" s="13">
        <v>0.88432385874246344</v>
      </c>
      <c r="H638" s="13">
        <v>4.5925925925925926</v>
      </c>
      <c r="I638" s="14">
        <v>9.2367875419910312</v>
      </c>
      <c r="J638" s="16">
        <v>0.74780000000000002</v>
      </c>
      <c r="K638" s="16">
        <v>0.74780000000000002</v>
      </c>
      <c r="L638" s="13">
        <v>0.52390000000000003</v>
      </c>
      <c r="M638" s="13">
        <v>3.7499999999999999E-2</v>
      </c>
      <c r="N638" s="13">
        <v>4.8800000000000003E-2</v>
      </c>
      <c r="O638" s="13">
        <v>7.8100000000000003E-2</v>
      </c>
      <c r="P638" s="16">
        <v>0.69319999999999993</v>
      </c>
      <c r="Q638" s="16">
        <v>0.67249999999999999</v>
      </c>
      <c r="R638" s="16">
        <v>0.67519999999999991</v>
      </c>
      <c r="S638" s="16">
        <f t="shared" si="20"/>
        <v>0.6802999999999999</v>
      </c>
      <c r="T638" s="18">
        <v>1</v>
      </c>
      <c r="U638" s="1">
        <v>0</v>
      </c>
      <c r="V638" s="1">
        <f t="shared" si="19"/>
        <v>0</v>
      </c>
      <c r="W638" s="26"/>
      <c r="X638">
        <v>0.1285</v>
      </c>
      <c r="Y638" s="1">
        <v>0.17929999999999999</v>
      </c>
      <c r="Z638" s="1">
        <v>0.16489999999999999</v>
      </c>
      <c r="AA638" s="1">
        <v>12047</v>
      </c>
      <c r="AB638" s="1">
        <v>102</v>
      </c>
      <c r="AC638" s="29">
        <v>2690</v>
      </c>
    </row>
    <row r="639" spans="1:29">
      <c r="A639" s="12">
        <v>41</v>
      </c>
      <c r="B639" s="12" t="s">
        <v>642</v>
      </c>
      <c r="C639" s="12">
        <v>41799</v>
      </c>
      <c r="D639" s="12" t="s">
        <v>671</v>
      </c>
      <c r="E639" s="17">
        <v>0.8975848919556928</v>
      </c>
      <c r="F639" s="17">
        <v>0.10241510804430724</v>
      </c>
      <c r="G639" s="13">
        <v>0.8632337957520182</v>
      </c>
      <c r="H639" s="13">
        <v>8.7564216120460578</v>
      </c>
      <c r="I639" s="14">
        <v>9.3070132592364434</v>
      </c>
      <c r="J639" s="16">
        <v>0.76780000000000004</v>
      </c>
      <c r="K639" s="16">
        <v>0.76780000000000004</v>
      </c>
      <c r="L639" s="13">
        <v>0.40649999999999997</v>
      </c>
      <c r="M639" s="13">
        <v>5.4800000000000001E-2</v>
      </c>
      <c r="N639" s="13">
        <v>7.3099999999999998E-2</v>
      </c>
      <c r="O639" s="13">
        <v>5.0299999999999997E-2</v>
      </c>
      <c r="P639" s="16">
        <v>0.37979999999999997</v>
      </c>
      <c r="Q639" s="16">
        <v>0.37979999999999997</v>
      </c>
      <c r="R639" s="16">
        <v>0.37979999999999997</v>
      </c>
      <c r="S639" s="16">
        <f t="shared" si="20"/>
        <v>0.37979999999999997</v>
      </c>
      <c r="T639" s="18">
        <v>0.67523756288429293</v>
      </c>
      <c r="U639" s="1">
        <v>17.543859650000002</v>
      </c>
      <c r="V639" s="1">
        <f t="shared" si="19"/>
        <v>2.9201387180829914</v>
      </c>
      <c r="W639" s="26"/>
      <c r="X639">
        <v>4.2799999999999998E-2</v>
      </c>
      <c r="Y639" s="1">
        <v>7.7200000000000005E-2</v>
      </c>
      <c r="Z639" s="1">
        <v>7.4399999999999994E-2</v>
      </c>
      <c r="AA639" s="1">
        <v>12495</v>
      </c>
      <c r="AB639" s="1">
        <v>114</v>
      </c>
      <c r="AC639" s="29">
        <v>2884</v>
      </c>
    </row>
    <row r="640" spans="1:29">
      <c r="A640" s="12">
        <v>41</v>
      </c>
      <c r="B640" s="12" t="s">
        <v>642</v>
      </c>
      <c r="C640" s="12">
        <v>41801</v>
      </c>
      <c r="D640" s="12" t="s">
        <v>672</v>
      </c>
      <c r="E640" s="17">
        <v>0.89903217368558719</v>
      </c>
      <c r="F640" s="17">
        <v>0.10096782631441277</v>
      </c>
      <c r="G640" s="13">
        <v>0.8789516036326015</v>
      </c>
      <c r="H640" s="13">
        <v>8.8926261319534277</v>
      </c>
      <c r="I640" s="14">
        <v>8.9420686930442255</v>
      </c>
      <c r="J640" s="16">
        <v>0.70269999999999999</v>
      </c>
      <c r="K640" s="16">
        <v>0.70269999999999999</v>
      </c>
      <c r="L640" s="13">
        <v>0.31719999999999998</v>
      </c>
      <c r="M640" s="13">
        <v>5.3999999999999999E-2</v>
      </c>
      <c r="N640" s="13">
        <v>8.7999999999999995E-2</v>
      </c>
      <c r="O640" s="13">
        <v>0.11459999999999999</v>
      </c>
      <c r="P640" s="16">
        <v>0.40139999999999998</v>
      </c>
      <c r="Q640" s="16">
        <v>0.40139999999999998</v>
      </c>
      <c r="R640" s="16">
        <v>0.40139999999999998</v>
      </c>
      <c r="S640" s="16">
        <f t="shared" si="20"/>
        <v>0.40139999999999998</v>
      </c>
      <c r="T640" s="18">
        <v>1</v>
      </c>
      <c r="U640" s="1">
        <v>0</v>
      </c>
      <c r="V640" s="1">
        <f t="shared" si="19"/>
        <v>0</v>
      </c>
      <c r="W640" s="25"/>
      <c r="X640">
        <v>3.6299999999999999E-2</v>
      </c>
      <c r="Y640" s="1">
        <v>3.7199999999999997E-2</v>
      </c>
      <c r="Z640" s="1">
        <v>3.6499999999999998E-2</v>
      </c>
      <c r="AA640" s="1">
        <v>8237</v>
      </c>
      <c r="AB640" s="1">
        <v>66</v>
      </c>
      <c r="AC640" s="29">
        <v>1829</v>
      </c>
    </row>
    <row r="641" spans="1:29">
      <c r="A641" s="12">
        <v>41</v>
      </c>
      <c r="B641" s="12" t="s">
        <v>642</v>
      </c>
      <c r="C641" s="12">
        <v>41807</v>
      </c>
      <c r="D641" s="12" t="s">
        <v>674</v>
      </c>
      <c r="E641" s="17">
        <v>0.90764624596959931</v>
      </c>
      <c r="F641" s="17">
        <v>9.2353754030400734E-2</v>
      </c>
      <c r="G641" s="13">
        <v>0.91676871753726619</v>
      </c>
      <c r="H641" s="13">
        <v>9.8230309072781647</v>
      </c>
      <c r="I641" s="14">
        <v>9.9855743235342374</v>
      </c>
      <c r="J641" s="16">
        <v>0.76870000000000005</v>
      </c>
      <c r="K641" s="16">
        <v>0.76870000000000005</v>
      </c>
      <c r="L641" s="13">
        <v>0.4017</v>
      </c>
      <c r="M641" s="13">
        <v>4.2599999999999999E-2</v>
      </c>
      <c r="N641" s="13">
        <v>8.2799999999999999E-2</v>
      </c>
      <c r="O641" s="13">
        <v>9.3899999999999997E-2</v>
      </c>
      <c r="P641" s="16">
        <v>0.95709999999999995</v>
      </c>
      <c r="Q641" s="16">
        <v>0.66989999999999994</v>
      </c>
      <c r="R641" s="16">
        <v>0.9484999999999999</v>
      </c>
      <c r="S641" s="16">
        <f t="shared" si="20"/>
        <v>0.85849999999999993</v>
      </c>
      <c r="T641" s="18">
        <v>0.98763153036736195</v>
      </c>
      <c r="U641" s="1">
        <v>9.3896713619999996</v>
      </c>
      <c r="V641" s="1">
        <f t="shared" si="19"/>
        <v>2.3408121743895234</v>
      </c>
      <c r="W641" s="25"/>
      <c r="X641">
        <v>1.9900000000000001E-2</v>
      </c>
      <c r="Y641" s="1">
        <v>0.3639</v>
      </c>
      <c r="Z641" s="1">
        <v>0.31030000000000002</v>
      </c>
      <c r="AA641" s="1">
        <v>23228</v>
      </c>
      <c r="AB641" s="1">
        <v>213</v>
      </c>
      <c r="AC641" s="29">
        <v>5186</v>
      </c>
    </row>
    <row r="642" spans="1:29">
      <c r="A642" s="12">
        <v>41</v>
      </c>
      <c r="B642" s="12" t="s">
        <v>642</v>
      </c>
      <c r="C642" s="12">
        <v>41872</v>
      </c>
      <c r="D642" s="12" t="s">
        <v>675</v>
      </c>
      <c r="E642" s="17">
        <v>0.87429754510499857</v>
      </c>
      <c r="F642" s="17">
        <v>0.12570245489500148</v>
      </c>
      <c r="G642" s="13">
        <v>0.85975842339478703</v>
      </c>
      <c r="H642" s="13">
        <v>6.947121034077556</v>
      </c>
      <c r="I642" s="14">
        <v>8.8192218575749397</v>
      </c>
      <c r="J642" s="16">
        <v>0.83960000000000001</v>
      </c>
      <c r="K642" s="16">
        <v>0.83960000000000001</v>
      </c>
      <c r="L642" s="13">
        <v>0.47470000000000001</v>
      </c>
      <c r="M642" s="13">
        <v>3.6299999999999999E-2</v>
      </c>
      <c r="N642" s="13">
        <v>9.98E-2</v>
      </c>
      <c r="O642" s="13">
        <v>5.6899999999999999E-2</v>
      </c>
      <c r="P642" s="16">
        <v>0.41119999999999995</v>
      </c>
      <c r="Q642" s="16">
        <v>0.41119999999999995</v>
      </c>
      <c r="R642" s="16">
        <v>0.2505</v>
      </c>
      <c r="S642" s="16">
        <f t="shared" si="20"/>
        <v>0.3576333333333333</v>
      </c>
      <c r="T642" s="18">
        <v>0.95049504950495001</v>
      </c>
      <c r="U642" s="1">
        <v>21.739130429999999</v>
      </c>
      <c r="V642" s="1">
        <f t="shared" ref="V642:V705" si="21">LN(U642+1)</f>
        <v>3.124087247925448</v>
      </c>
      <c r="W642" s="26"/>
      <c r="X642">
        <v>6.93E-2</v>
      </c>
      <c r="Y642" s="1">
        <v>7.1499999999999994E-2</v>
      </c>
      <c r="Z642" s="1">
        <v>6.9099999999999995E-2</v>
      </c>
      <c r="AA642" s="1">
        <v>7418</v>
      </c>
      <c r="AB642" s="1">
        <v>46</v>
      </c>
      <c r="AC642" s="29">
        <v>1404</v>
      </c>
    </row>
    <row r="643" spans="1:29">
      <c r="A643" s="12">
        <v>41</v>
      </c>
      <c r="B643" s="12" t="s">
        <v>642</v>
      </c>
      <c r="C643" s="12">
        <v>41885</v>
      </c>
      <c r="D643" s="12" t="s">
        <v>676</v>
      </c>
      <c r="E643" s="17">
        <v>0.73365718251214429</v>
      </c>
      <c r="F643" s="17">
        <v>0.26634281748785565</v>
      </c>
      <c r="G643" s="13">
        <v>0.86754966887417218</v>
      </c>
      <c r="H643" s="13">
        <v>2.7531249999999998</v>
      </c>
      <c r="I643" s="14">
        <v>8.882669291308039</v>
      </c>
      <c r="J643" s="16">
        <v>0.83199999999999996</v>
      </c>
      <c r="K643" s="16">
        <v>0.83199999999999996</v>
      </c>
      <c r="L643" s="13">
        <v>0.48020000000000002</v>
      </c>
      <c r="M643" s="13">
        <v>2.1999999999999999E-2</v>
      </c>
      <c r="N643" s="13">
        <v>8.2500000000000004E-2</v>
      </c>
      <c r="O643" s="13">
        <v>7.51E-2</v>
      </c>
      <c r="P643" s="16">
        <v>0.86980000000000002</v>
      </c>
      <c r="Q643" s="16">
        <v>0.7752</v>
      </c>
      <c r="R643" s="16">
        <v>0.8105</v>
      </c>
      <c r="S643" s="16">
        <f t="shared" si="20"/>
        <v>0.81849999999999989</v>
      </c>
      <c r="T643" s="18">
        <v>0.89885297184567192</v>
      </c>
      <c r="U643" s="1">
        <v>0</v>
      </c>
      <c r="V643" s="1">
        <f t="shared" si="21"/>
        <v>0</v>
      </c>
      <c r="W643" s="25"/>
      <c r="X643">
        <v>0.24859999999999999</v>
      </c>
      <c r="Y643" s="1">
        <v>0.30420000000000003</v>
      </c>
      <c r="Z643" s="1">
        <v>0.2656</v>
      </c>
      <c r="AA643" s="1">
        <v>8003</v>
      </c>
      <c r="AB643" s="1">
        <v>45</v>
      </c>
      <c r="AC643" s="29">
        <v>1536</v>
      </c>
    </row>
    <row r="644" spans="1:29" ht="25.5">
      <c r="A644" s="12">
        <v>44</v>
      </c>
      <c r="B644" s="12" t="s">
        <v>677</v>
      </c>
      <c r="C644" s="12">
        <v>44001</v>
      </c>
      <c r="D644" s="12" t="s">
        <v>687</v>
      </c>
      <c r="E644" s="17">
        <v>0.80460179053940073</v>
      </c>
      <c r="F644" s="17">
        <v>0.19539820946059924</v>
      </c>
      <c r="G644" s="13">
        <v>1</v>
      </c>
      <c r="H644" s="13">
        <v>4.1176895306859205</v>
      </c>
      <c r="I644" s="14">
        <v>12.694799888774012</v>
      </c>
      <c r="J644" s="16">
        <v>1.0859000000000001</v>
      </c>
      <c r="K644" s="16">
        <v>1.0849</v>
      </c>
      <c r="L644" s="13">
        <v>0.44790000000000002</v>
      </c>
      <c r="M644" s="13">
        <v>3.6499999999999998E-2</v>
      </c>
      <c r="N644" s="13">
        <v>0.1057</v>
      </c>
      <c r="O644" s="13">
        <v>0.1103</v>
      </c>
      <c r="P644" s="16">
        <v>0.85950000000000004</v>
      </c>
      <c r="Q644" s="16">
        <v>0.85780000000000001</v>
      </c>
      <c r="R644" s="16"/>
      <c r="S644" s="16">
        <f t="shared" si="20"/>
        <v>0.57243333333333335</v>
      </c>
      <c r="T644" s="18">
        <v>0.51978591356829595</v>
      </c>
      <c r="U644" s="1">
        <v>19.33251933</v>
      </c>
      <c r="V644" s="1">
        <f t="shared" si="21"/>
        <v>3.0122215417530418</v>
      </c>
      <c r="W644" s="26"/>
      <c r="X644">
        <v>0.1094</v>
      </c>
      <c r="Y644" s="1">
        <v>0.36890000000000001</v>
      </c>
      <c r="Z644" s="1">
        <v>0.314</v>
      </c>
      <c r="AA644" s="1">
        <v>209292</v>
      </c>
      <c r="AB644" s="1">
        <v>4914</v>
      </c>
      <c r="AC644" s="29">
        <v>52267</v>
      </c>
    </row>
    <row r="645" spans="1:29" ht="25.5">
      <c r="A645" s="12">
        <v>44</v>
      </c>
      <c r="B645" s="12" t="s">
        <v>677</v>
      </c>
      <c r="C645" s="12">
        <v>44035</v>
      </c>
      <c r="D645" s="12" t="s">
        <v>364</v>
      </c>
      <c r="E645" s="17">
        <v>0.71881749460043198</v>
      </c>
      <c r="F645" s="17">
        <v>0.28118250539956802</v>
      </c>
      <c r="G645" s="13">
        <v>0.82805644823249969</v>
      </c>
      <c r="H645" s="13">
        <v>2.5561022440897636</v>
      </c>
      <c r="I645" s="14">
        <v>10.296643884176694</v>
      </c>
      <c r="J645" s="16">
        <v>0.80279999999999996</v>
      </c>
      <c r="K645" s="16">
        <v>0.79910000000000003</v>
      </c>
      <c r="L645" s="13">
        <v>0.28810000000000002</v>
      </c>
      <c r="M645" s="13">
        <v>2.58E-2</v>
      </c>
      <c r="N645" s="13">
        <v>0.1048</v>
      </c>
      <c r="O645" s="13">
        <v>8.4900000000000003E-2</v>
      </c>
      <c r="P645" s="16">
        <v>0.63240000000000007</v>
      </c>
      <c r="Q645" s="16">
        <v>0.62790000000000001</v>
      </c>
      <c r="R645" s="16">
        <v>0.7340000000000001</v>
      </c>
      <c r="S645" s="16">
        <f t="shared" si="20"/>
        <v>0.66476666666666662</v>
      </c>
      <c r="T645" s="18">
        <v>0.74245169082125595</v>
      </c>
      <c r="U645" s="1">
        <v>13.661202189999999</v>
      </c>
      <c r="V645" s="1">
        <f t="shared" si="21"/>
        <v>2.6852046978711952</v>
      </c>
      <c r="W645" s="26"/>
      <c r="X645">
        <v>0.36370000000000002</v>
      </c>
      <c r="Y645" s="1">
        <v>1.4077</v>
      </c>
      <c r="Z645" s="1">
        <v>0.87870000000000004</v>
      </c>
      <c r="AA645" s="1">
        <v>35960</v>
      </c>
      <c r="AB645" s="1">
        <v>366</v>
      </c>
      <c r="AC645" s="29">
        <v>9707</v>
      </c>
    </row>
    <row r="646" spans="1:29" ht="25.5">
      <c r="A646" s="12">
        <v>44</v>
      </c>
      <c r="B646" s="12" t="s">
        <v>677</v>
      </c>
      <c r="C646" s="12">
        <v>44078</v>
      </c>
      <c r="D646" s="12" t="s">
        <v>678</v>
      </c>
      <c r="E646" s="17">
        <v>0.76984551396316103</v>
      </c>
      <c r="F646" s="17">
        <v>0.23009506833036245</v>
      </c>
      <c r="G646" s="13">
        <v>0.76947695683979522</v>
      </c>
      <c r="H646" s="13">
        <v>3.3453395300800413</v>
      </c>
      <c r="I646" s="14">
        <v>10.424095176156737</v>
      </c>
      <c r="J646" s="16">
        <v>0.7288</v>
      </c>
      <c r="K646" s="16">
        <v>0.72860000000000003</v>
      </c>
      <c r="L646" s="13">
        <v>0.27679999999999999</v>
      </c>
      <c r="M646" s="13">
        <v>3.5200000000000002E-2</v>
      </c>
      <c r="N646" s="13">
        <v>9.5000000000000001E-2</v>
      </c>
      <c r="O646" s="13">
        <v>8.0699999999999994E-2</v>
      </c>
      <c r="P646" s="16">
        <v>0.66839999999999999</v>
      </c>
      <c r="Q646" s="16">
        <v>0.66150000000000009</v>
      </c>
      <c r="R646" s="16">
        <v>0.74360000000000004</v>
      </c>
      <c r="S646" s="16">
        <f t="shared" si="20"/>
        <v>0.69116666666666671</v>
      </c>
      <c r="T646" s="18">
        <v>0.37745408486383702</v>
      </c>
      <c r="U646" s="1">
        <v>8.4210526320000003</v>
      </c>
      <c r="V646" s="1">
        <f t="shared" si="21"/>
        <v>2.2429468267190074</v>
      </c>
      <c r="W646" s="25"/>
      <c r="X646">
        <v>0.1338</v>
      </c>
      <c r="Y646" s="1">
        <v>1.9508000000000001</v>
      </c>
      <c r="Z646" s="1">
        <v>1.0821000000000001</v>
      </c>
      <c r="AA646" s="1">
        <v>42798</v>
      </c>
      <c r="AB646" s="1">
        <v>475</v>
      </c>
      <c r="AC646" s="29">
        <v>10725</v>
      </c>
    </row>
    <row r="647" spans="1:29" ht="25.5">
      <c r="A647" s="12">
        <v>44</v>
      </c>
      <c r="B647" s="12" t="s">
        <v>677</v>
      </c>
      <c r="C647" s="12">
        <v>44090</v>
      </c>
      <c r="D647" s="12" t="s">
        <v>679</v>
      </c>
      <c r="E647" s="17">
        <v>0.92082979284479471</v>
      </c>
      <c r="F647" s="17">
        <v>7.9170207155205244E-2</v>
      </c>
      <c r="G647" s="13">
        <v>0.73065724684221789</v>
      </c>
      <c r="H647" s="13">
        <v>11.626711061783205</v>
      </c>
      <c r="I647" s="14">
        <v>10.437932041900753</v>
      </c>
      <c r="J647" s="16">
        <v>0.61699999999999999</v>
      </c>
      <c r="K647" s="16">
        <v>0.61699999999999999</v>
      </c>
      <c r="L647" s="13">
        <v>0.15540000000000001</v>
      </c>
      <c r="M647" s="13">
        <v>4.3200000000000002E-2</v>
      </c>
      <c r="N647" s="13">
        <v>0.13039999999999999</v>
      </c>
      <c r="O647" s="13">
        <v>3.9800000000000002E-2</v>
      </c>
      <c r="P647" s="16">
        <v>1</v>
      </c>
      <c r="Q647" s="16">
        <v>0.33700000000000002</v>
      </c>
      <c r="R647" s="16">
        <v>1</v>
      </c>
      <c r="S647" s="16">
        <f t="shared" si="20"/>
        <v>0.77899999999999991</v>
      </c>
      <c r="T647" s="18">
        <v>0.65266903914590702</v>
      </c>
      <c r="U647" s="1">
        <v>19.41747573</v>
      </c>
      <c r="V647" s="1">
        <f t="shared" si="21"/>
        <v>3.0163911875634111</v>
      </c>
      <c r="W647" s="26"/>
      <c r="X647">
        <v>7.9000000000000001E-2</v>
      </c>
      <c r="Y647" s="1">
        <v>0.10340000000000001</v>
      </c>
      <c r="Z647" s="1">
        <v>9.8400000000000001E-2</v>
      </c>
      <c r="AA647" s="1">
        <v>48596</v>
      </c>
      <c r="AB647" s="1">
        <v>309</v>
      </c>
      <c r="AC647" s="29">
        <v>14155</v>
      </c>
    </row>
    <row r="648" spans="1:29" ht="25.5">
      <c r="A648" s="12">
        <v>44</v>
      </c>
      <c r="B648" s="12" t="s">
        <v>677</v>
      </c>
      <c r="C648" s="12">
        <v>44098</v>
      </c>
      <c r="D648" s="12" t="s">
        <v>680</v>
      </c>
      <c r="E648" s="17">
        <v>0.90894417014812001</v>
      </c>
      <c r="F648" s="17">
        <v>9.1055829851879988E-2</v>
      </c>
      <c r="G648" s="13">
        <v>0.67357380404195444</v>
      </c>
      <c r="H648" s="13">
        <v>9.9718750000000007</v>
      </c>
      <c r="I648" s="14">
        <v>9.2622684648365414</v>
      </c>
      <c r="J648" s="16">
        <v>0.74590000000000001</v>
      </c>
      <c r="K648" s="16">
        <v>0.74590000000000001</v>
      </c>
      <c r="L648" s="13">
        <v>0.27810000000000001</v>
      </c>
      <c r="M648" s="13">
        <v>4.7800000000000002E-2</v>
      </c>
      <c r="N648" s="13">
        <v>0.1076</v>
      </c>
      <c r="O648" s="13">
        <v>8.3299999999999999E-2</v>
      </c>
      <c r="P648" s="16">
        <v>0.86010000000000009</v>
      </c>
      <c r="Q648" s="16">
        <v>0.75040000000000007</v>
      </c>
      <c r="R648" s="16">
        <v>0.7118000000000001</v>
      </c>
      <c r="S648" s="16">
        <f t="shared" ref="S648:S711" si="22">+(P648+Q648+R648)/3</f>
        <v>0.77410000000000012</v>
      </c>
      <c r="T648" s="18">
        <v>0.700916730328495</v>
      </c>
      <c r="U648" s="1">
        <v>17.341040459999999</v>
      </c>
      <c r="V648" s="1">
        <f t="shared" si="21"/>
        <v>2.9091411969530498</v>
      </c>
      <c r="W648" s="25"/>
      <c r="X648">
        <v>2.64E-2</v>
      </c>
      <c r="Y648" s="1">
        <v>0.59950000000000003</v>
      </c>
      <c r="Z648" s="1">
        <v>0.46970000000000001</v>
      </c>
      <c r="AA648" s="1">
        <v>14277</v>
      </c>
      <c r="AB648" s="1">
        <v>173</v>
      </c>
      <c r="AC648" s="29">
        <v>3531</v>
      </c>
    </row>
    <row r="649" spans="1:29" ht="25.5">
      <c r="A649" s="12">
        <v>44</v>
      </c>
      <c r="B649" s="12" t="s">
        <v>677</v>
      </c>
      <c r="C649" s="12">
        <v>44110</v>
      </c>
      <c r="D649" s="12" t="s">
        <v>681</v>
      </c>
      <c r="E649" s="17">
        <v>0.93512188830130272</v>
      </c>
      <c r="F649" s="17">
        <v>6.4878111698697283E-2</v>
      </c>
      <c r="G649" s="13">
        <v>0.90371838209581534</v>
      </c>
      <c r="H649" s="13">
        <v>14.384920634920634</v>
      </c>
      <c r="I649" s="14">
        <v>8.9559641182308738</v>
      </c>
      <c r="J649" s="16">
        <v>0.85560000000000003</v>
      </c>
      <c r="K649" s="16">
        <v>0.85509999999999997</v>
      </c>
      <c r="L649" s="13">
        <v>0.2954</v>
      </c>
      <c r="M649" s="13">
        <v>4.0500000000000001E-2</v>
      </c>
      <c r="N649" s="13">
        <v>0.15870000000000001</v>
      </c>
      <c r="O649" s="13">
        <v>7.8600000000000003E-2</v>
      </c>
      <c r="P649" s="16">
        <v>0.8801000000000001</v>
      </c>
      <c r="Q649" s="16">
        <v>0.8801000000000001</v>
      </c>
      <c r="R649" s="16">
        <v>0.88650000000000007</v>
      </c>
      <c r="S649" s="16">
        <f t="shared" si="22"/>
        <v>0.88223333333333331</v>
      </c>
      <c r="T649" s="18">
        <v>0.44609991235758101</v>
      </c>
      <c r="U649" s="1">
        <v>22.727272729999999</v>
      </c>
      <c r="V649" s="1">
        <f t="shared" si="21"/>
        <v>3.1666251346392653</v>
      </c>
      <c r="W649" s="26"/>
      <c r="X649">
        <v>3.4200000000000001E-2</v>
      </c>
      <c r="Y649" s="1">
        <v>0.26669999999999999</v>
      </c>
      <c r="Z649" s="1">
        <v>0.2364</v>
      </c>
      <c r="AA649" s="1">
        <v>7527</v>
      </c>
      <c r="AB649" s="1">
        <v>88</v>
      </c>
      <c r="AC649" s="29">
        <v>1581</v>
      </c>
    </row>
    <row r="650" spans="1:29" ht="25.5">
      <c r="A650" s="12">
        <v>44</v>
      </c>
      <c r="B650" s="12" t="s">
        <v>677</v>
      </c>
      <c r="C650" s="12">
        <v>44279</v>
      </c>
      <c r="D650" s="12" t="s">
        <v>682</v>
      </c>
      <c r="E650" s="17">
        <v>0.76777445396057864</v>
      </c>
      <c r="F650" s="17">
        <v>0.23222554603942139</v>
      </c>
      <c r="G650" s="13">
        <v>0.95346565601312805</v>
      </c>
      <c r="H650" s="13">
        <v>3.3058667842964269</v>
      </c>
      <c r="I650" s="14">
        <v>10.795629024177281</v>
      </c>
      <c r="J650" s="16">
        <v>0.90839999999999999</v>
      </c>
      <c r="K650" s="16">
        <v>0.9083</v>
      </c>
      <c r="L650" s="13">
        <v>0.39090000000000003</v>
      </c>
      <c r="M650" s="13">
        <v>4.5699999999999998E-2</v>
      </c>
      <c r="N650" s="13">
        <v>9.4100000000000003E-2</v>
      </c>
      <c r="O650" s="13">
        <v>6.7100000000000007E-2</v>
      </c>
      <c r="P650" s="16">
        <v>0.62180000000000002</v>
      </c>
      <c r="Q650" s="16">
        <v>0.62180000000000002</v>
      </c>
      <c r="R650" s="16">
        <v>0.69370000000000009</v>
      </c>
      <c r="S650" s="16">
        <f t="shared" si="22"/>
        <v>0.64576666666666671</v>
      </c>
      <c r="T650" s="18">
        <v>0.827551364095655</v>
      </c>
      <c r="U650" s="1">
        <v>8.4317032039999997</v>
      </c>
      <c r="V650" s="1">
        <f t="shared" si="21"/>
        <v>2.244076695818856</v>
      </c>
      <c r="W650" s="25"/>
      <c r="X650">
        <v>4.24E-2</v>
      </c>
      <c r="Y650" s="1">
        <v>0.90290000000000004</v>
      </c>
      <c r="Z650" s="1">
        <v>0.64339999999999997</v>
      </c>
      <c r="AA650" s="1">
        <v>53775</v>
      </c>
      <c r="AB650" s="1">
        <v>593</v>
      </c>
      <c r="AC650" s="29">
        <v>12493</v>
      </c>
    </row>
    <row r="651" spans="1:29" ht="25.5">
      <c r="A651" s="12">
        <v>44</v>
      </c>
      <c r="B651" s="12" t="s">
        <v>677</v>
      </c>
      <c r="C651" s="12">
        <v>44378</v>
      </c>
      <c r="D651" s="12" t="s">
        <v>683</v>
      </c>
      <c r="E651" s="17">
        <v>0.75458681931601346</v>
      </c>
      <c r="F651" s="17">
        <v>0.24541318068398649</v>
      </c>
      <c r="G651" s="13">
        <v>0.83897052787127491</v>
      </c>
      <c r="H651" s="13">
        <v>3.0741478971496909</v>
      </c>
      <c r="I651" s="14">
        <v>9.9252490443176402</v>
      </c>
      <c r="J651" s="16">
        <v>0.78300000000000003</v>
      </c>
      <c r="K651" s="16">
        <v>0.78129999999999999</v>
      </c>
      <c r="L651" s="13">
        <v>0.42370000000000002</v>
      </c>
      <c r="M651" s="13">
        <v>3.0800000000000001E-2</v>
      </c>
      <c r="N651" s="13">
        <v>7.2099999999999997E-2</v>
      </c>
      <c r="O651" s="13">
        <v>5.2600000000000001E-2</v>
      </c>
      <c r="P651" s="16">
        <v>0.80799999999999994</v>
      </c>
      <c r="Q651" s="16">
        <v>0.80799999999999994</v>
      </c>
      <c r="R651" s="16">
        <v>0.93099999999999994</v>
      </c>
      <c r="S651" s="16">
        <f t="shared" si="22"/>
        <v>0.84899999999999987</v>
      </c>
      <c r="T651" s="18">
        <v>0.24274509803921501</v>
      </c>
      <c r="U651" s="1">
        <v>21.352313169999999</v>
      </c>
      <c r="V651" s="1">
        <f t="shared" si="21"/>
        <v>3.106929813243227</v>
      </c>
      <c r="W651" s="26"/>
      <c r="X651">
        <v>0.11799999999999999</v>
      </c>
      <c r="Y651" s="1">
        <v>1.7138</v>
      </c>
      <c r="Z651" s="1">
        <v>0.99839999999999995</v>
      </c>
      <c r="AA651" s="1">
        <v>23232</v>
      </c>
      <c r="AB651" s="1">
        <v>281</v>
      </c>
      <c r="AC651" s="29">
        <v>6004</v>
      </c>
    </row>
    <row r="652" spans="1:29" ht="25.5">
      <c r="A652" s="12">
        <v>44</v>
      </c>
      <c r="B652" s="12" t="s">
        <v>677</v>
      </c>
      <c r="C652" s="12">
        <v>44420</v>
      </c>
      <c r="D652" s="12" t="s">
        <v>684</v>
      </c>
      <c r="E652" s="17">
        <v>0.94335511982570808</v>
      </c>
      <c r="F652" s="17">
        <v>5.6644880174291937E-2</v>
      </c>
      <c r="G652" s="13">
        <v>0.55354558610709115</v>
      </c>
      <c r="H652" s="13">
        <v>16.52671755725191</v>
      </c>
      <c r="I652" s="14">
        <v>7.7389237574394567</v>
      </c>
      <c r="J652" s="16">
        <v>0.60750000000000004</v>
      </c>
      <c r="K652" s="16">
        <v>0.60750000000000004</v>
      </c>
      <c r="L652" s="13">
        <v>0.28489999999999999</v>
      </c>
      <c r="M652" s="13">
        <v>3.0300000000000001E-2</v>
      </c>
      <c r="N652" s="13">
        <v>0.121</v>
      </c>
      <c r="O652" s="13">
        <v>0.1239</v>
      </c>
      <c r="P652" s="16">
        <v>0.62509999999999999</v>
      </c>
      <c r="Q652" s="16">
        <v>0.62509999999999999</v>
      </c>
      <c r="R652" s="16">
        <v>0.52079999999999993</v>
      </c>
      <c r="S652" s="16">
        <f t="shared" si="22"/>
        <v>0.59033333333333327</v>
      </c>
      <c r="T652" s="18">
        <v>0.52</v>
      </c>
      <c r="U652" s="1">
        <v>30.3030303</v>
      </c>
      <c r="V652" s="1">
        <f t="shared" si="21"/>
        <v>3.4437149075563527</v>
      </c>
      <c r="W652" s="25"/>
      <c r="X652">
        <v>6.3399999999999998E-2</v>
      </c>
      <c r="Y652" s="1">
        <v>0.52039999999999997</v>
      </c>
      <c r="Z652" s="1">
        <v>0.41899999999999998</v>
      </c>
      <c r="AA652" s="1">
        <v>4149</v>
      </c>
      <c r="AB652" s="1">
        <v>33</v>
      </c>
      <c r="AC652" s="29">
        <v>1072</v>
      </c>
    </row>
    <row r="653" spans="1:29" ht="25.5">
      <c r="A653" s="12">
        <v>44</v>
      </c>
      <c r="B653" s="12" t="s">
        <v>677</v>
      </c>
      <c r="C653" s="12">
        <v>44430</v>
      </c>
      <c r="D653" s="12" t="s">
        <v>685</v>
      </c>
      <c r="E653" s="17">
        <v>0.91734694215478163</v>
      </c>
      <c r="F653" s="17">
        <v>8.2653057845218425E-2</v>
      </c>
      <c r="G653" s="13">
        <v>1</v>
      </c>
      <c r="H653" s="13">
        <v>11.098321246844826</v>
      </c>
      <c r="I653" s="14">
        <v>12.618056460625453</v>
      </c>
      <c r="J653" s="16">
        <v>1.0199</v>
      </c>
      <c r="K653" s="16">
        <v>1.0187999999999999</v>
      </c>
      <c r="L653" s="13">
        <v>0.36330000000000001</v>
      </c>
      <c r="M653" s="13">
        <v>2.8299999999999999E-2</v>
      </c>
      <c r="N653" s="13">
        <v>0.1144</v>
      </c>
      <c r="O653" s="13">
        <v>4.7899999999999998E-2</v>
      </c>
      <c r="P653" s="16">
        <v>0.71099999999999997</v>
      </c>
      <c r="Q653" s="16">
        <v>0.61439999999999995</v>
      </c>
      <c r="R653" s="16">
        <v>0.78959999999999997</v>
      </c>
      <c r="S653" s="16">
        <f t="shared" si="22"/>
        <v>0.70499999999999996</v>
      </c>
      <c r="T653" s="18">
        <v>0.13006352181609901</v>
      </c>
      <c r="U653" s="1">
        <v>24.089935759999999</v>
      </c>
      <c r="V653" s="1">
        <f t="shared" si="21"/>
        <v>3.2224667999924304</v>
      </c>
      <c r="W653" s="26"/>
      <c r="X653">
        <v>6.0900000000000003E-2</v>
      </c>
      <c r="Y653" s="1">
        <v>0.53169999999999995</v>
      </c>
      <c r="Z653" s="1">
        <v>0.4264</v>
      </c>
      <c r="AA653" s="1">
        <v>208965</v>
      </c>
      <c r="AB653" s="1">
        <v>3736</v>
      </c>
      <c r="AC653" s="29">
        <v>54177</v>
      </c>
    </row>
    <row r="654" spans="1:29" ht="25.5">
      <c r="A654" s="12">
        <v>44</v>
      </c>
      <c r="B654" s="12" t="s">
        <v>677</v>
      </c>
      <c r="C654" s="12">
        <v>44560</v>
      </c>
      <c r="D654" s="12" t="s">
        <v>686</v>
      </c>
      <c r="E654" s="17">
        <v>0.95779409789082437</v>
      </c>
      <c r="F654" s="17">
        <v>4.2205902109175589E-2</v>
      </c>
      <c r="G654" s="13">
        <v>0.90591373312643886</v>
      </c>
      <c r="H654" s="13">
        <v>22.687350835322196</v>
      </c>
      <c r="I654" s="14">
        <v>11.40003668289161</v>
      </c>
      <c r="J654" s="16">
        <v>0.98880000000000001</v>
      </c>
      <c r="K654" s="16">
        <v>0.98880000000000001</v>
      </c>
      <c r="L654" s="13">
        <v>0.15090000000000001</v>
      </c>
      <c r="M654" s="13">
        <v>2.3400000000000001E-2</v>
      </c>
      <c r="N654" s="13">
        <v>0.20180000000000001</v>
      </c>
      <c r="O654" s="13">
        <v>0.1046</v>
      </c>
      <c r="P654" s="16">
        <v>0.7167</v>
      </c>
      <c r="Q654" s="16">
        <v>0.7167</v>
      </c>
      <c r="R654" s="16">
        <v>0.7167</v>
      </c>
      <c r="S654" s="16">
        <f t="shared" si="22"/>
        <v>0.7167</v>
      </c>
      <c r="T654" s="18">
        <v>6.78005682481609E-2</v>
      </c>
      <c r="U654" s="1">
        <v>28.448275859999999</v>
      </c>
      <c r="V654" s="1">
        <f t="shared" si="21"/>
        <v>3.382635363731838</v>
      </c>
      <c r="W654" s="25"/>
      <c r="X654">
        <v>4.2900000000000001E-2</v>
      </c>
      <c r="Y654" s="1">
        <v>0.21809999999999999</v>
      </c>
      <c r="Z654" s="1">
        <v>0.1973</v>
      </c>
      <c r="AA654" s="1">
        <v>96422</v>
      </c>
      <c r="AB654" s="1">
        <v>1160</v>
      </c>
      <c r="AC654" s="29">
        <v>30942</v>
      </c>
    </row>
    <row r="655" spans="1:29" ht="25.5">
      <c r="A655" s="12">
        <v>44</v>
      </c>
      <c r="B655" s="12" t="s">
        <v>677</v>
      </c>
      <c r="C655" s="12">
        <v>44650</v>
      </c>
      <c r="D655" s="12" t="s">
        <v>688</v>
      </c>
      <c r="E655" s="17">
        <v>0.777765619870883</v>
      </c>
      <c r="F655" s="17">
        <v>0.22223438012911698</v>
      </c>
      <c r="G655" s="13">
        <v>0.98071970238946915</v>
      </c>
      <c r="H655" s="13">
        <v>3.4994666447854272</v>
      </c>
      <c r="I655" s="14">
        <v>10.912083955194309</v>
      </c>
      <c r="J655" s="16">
        <v>0.86460000000000004</v>
      </c>
      <c r="K655" s="16">
        <v>0.86280000000000001</v>
      </c>
      <c r="L655" s="13">
        <v>0.36699999999999999</v>
      </c>
      <c r="M655" s="13">
        <v>3.4000000000000002E-2</v>
      </c>
      <c r="N655" s="13">
        <v>9.6100000000000005E-2</v>
      </c>
      <c r="O655" s="13">
        <v>9.1600000000000001E-2</v>
      </c>
      <c r="P655" s="16">
        <v>0.56769999999999998</v>
      </c>
      <c r="Q655" s="16">
        <v>0.5343</v>
      </c>
      <c r="R655" s="16">
        <v>0.67110000000000003</v>
      </c>
      <c r="S655" s="16">
        <f t="shared" si="22"/>
        <v>0.5910333333333333</v>
      </c>
      <c r="T655" s="18">
        <v>0.70493066255778103</v>
      </c>
      <c r="U655" s="1">
        <v>14.59854015</v>
      </c>
      <c r="V655" s="1">
        <f t="shared" si="21"/>
        <v>2.7471773297483928</v>
      </c>
      <c r="W655" s="25"/>
      <c r="X655">
        <v>5.5E-2</v>
      </c>
      <c r="Y655" s="1">
        <v>0.30220000000000002</v>
      </c>
      <c r="Z655" s="1">
        <v>0.26400000000000001</v>
      </c>
      <c r="AA655" s="1">
        <v>57850</v>
      </c>
      <c r="AB655" s="1">
        <v>685</v>
      </c>
      <c r="AC655" s="29">
        <v>12642</v>
      </c>
    </row>
    <row r="656" spans="1:29" ht="25.5">
      <c r="A656" s="12">
        <v>44</v>
      </c>
      <c r="B656" s="12" t="s">
        <v>677</v>
      </c>
      <c r="C656" s="12">
        <v>44847</v>
      </c>
      <c r="D656" s="12" t="s">
        <v>689</v>
      </c>
      <c r="E656" s="17">
        <v>0.95094365840707085</v>
      </c>
      <c r="F656" s="17">
        <v>4.905634159292914E-2</v>
      </c>
      <c r="G656" s="13">
        <v>1</v>
      </c>
      <c r="H656" s="13">
        <v>19.382763503944972</v>
      </c>
      <c r="I656" s="14">
        <v>12.213564511288469</v>
      </c>
      <c r="J656" s="16">
        <v>1.2507999999999999</v>
      </c>
      <c r="K656" s="16">
        <v>1.2507999999999999</v>
      </c>
      <c r="L656" s="13">
        <v>0.16619999999999999</v>
      </c>
      <c r="M656" s="13">
        <v>1.6199999999999999E-2</v>
      </c>
      <c r="N656" s="13">
        <v>0.14419999999999999</v>
      </c>
      <c r="O656" s="13">
        <v>9.6199999999999994E-2</v>
      </c>
      <c r="P656" s="16">
        <v>0.5423</v>
      </c>
      <c r="Q656" s="16">
        <v>0.60619999999999996</v>
      </c>
      <c r="R656" s="16">
        <v>0.49380000000000002</v>
      </c>
      <c r="S656" s="16">
        <f t="shared" si="22"/>
        <v>0.54743333333333333</v>
      </c>
      <c r="T656" s="18">
        <v>4.49227981723649E-2</v>
      </c>
      <c r="U656" s="1">
        <v>17.556693490000001</v>
      </c>
      <c r="V656" s="1">
        <f t="shared" si="21"/>
        <v>2.9208305590085684</v>
      </c>
      <c r="W656" s="26"/>
      <c r="X656">
        <v>4.2599999999999999E-2</v>
      </c>
      <c r="Y656" s="1">
        <v>7.1099999999999997E-2</v>
      </c>
      <c r="Z656" s="1">
        <v>6.8699999999999997E-2</v>
      </c>
      <c r="AA656" s="1">
        <v>200665</v>
      </c>
      <c r="AB656" s="1">
        <v>4101</v>
      </c>
      <c r="AC656" s="29">
        <v>61772</v>
      </c>
    </row>
    <row r="657" spans="1:29" ht="25.5">
      <c r="A657" s="12">
        <v>44</v>
      </c>
      <c r="B657" s="12" t="s">
        <v>677</v>
      </c>
      <c r="C657" s="12">
        <v>44855</v>
      </c>
      <c r="D657" s="12" t="s">
        <v>690</v>
      </c>
      <c r="E657" s="17">
        <v>0.83299279492418543</v>
      </c>
      <c r="F657" s="17">
        <v>0.1670072050758146</v>
      </c>
      <c r="G657" s="13">
        <v>0.72523787240680082</v>
      </c>
      <c r="H657" s="13">
        <v>4.9845559845559846</v>
      </c>
      <c r="I657" s="14">
        <v>9.1377696791413481</v>
      </c>
      <c r="J657" s="16">
        <v>0.6976</v>
      </c>
      <c r="K657" s="16">
        <v>0.6976</v>
      </c>
      <c r="L657" s="13">
        <v>0.3498</v>
      </c>
      <c r="M657" s="13">
        <v>1.5599999999999999E-2</v>
      </c>
      <c r="N657" s="13">
        <v>0.1007</v>
      </c>
      <c r="O657" s="13">
        <v>3.8800000000000001E-2</v>
      </c>
      <c r="P657" s="16">
        <v>0.81110000000000004</v>
      </c>
      <c r="Q657" s="16">
        <v>0.80930000000000002</v>
      </c>
      <c r="R657" s="16">
        <v>0.75620000000000009</v>
      </c>
      <c r="S657" s="16">
        <f t="shared" si="22"/>
        <v>0.79220000000000013</v>
      </c>
      <c r="T657" s="18">
        <v>1</v>
      </c>
      <c r="U657" s="1">
        <v>9.2592592590000002</v>
      </c>
      <c r="V657" s="1">
        <f t="shared" si="21"/>
        <v>2.3281806401577385</v>
      </c>
      <c r="W657" s="25"/>
      <c r="X657">
        <v>3.39E-2</v>
      </c>
      <c r="Y657" s="1">
        <v>0.31759999999999999</v>
      </c>
      <c r="Z657" s="1">
        <v>0.27579999999999999</v>
      </c>
      <c r="AA657" s="1">
        <v>11700</v>
      </c>
      <c r="AB657" s="1">
        <v>108</v>
      </c>
      <c r="AC657" s="29">
        <v>2638</v>
      </c>
    </row>
    <row r="658" spans="1:29" ht="25.5">
      <c r="A658" s="12">
        <v>44</v>
      </c>
      <c r="B658" s="12" t="s">
        <v>677</v>
      </c>
      <c r="C658" s="12">
        <v>44874</v>
      </c>
      <c r="D658" s="12" t="s">
        <v>214</v>
      </c>
      <c r="E658" s="17">
        <v>0.84168465704654771</v>
      </c>
      <c r="F658" s="17">
        <v>0.15831534295345226</v>
      </c>
      <c r="G658" s="13">
        <v>0.78228793220941606</v>
      </c>
      <c r="H658" s="13">
        <v>5.3152355895718726</v>
      </c>
      <c r="I658" s="14">
        <v>10.181270792808661</v>
      </c>
      <c r="J658" s="16">
        <v>0.74080000000000001</v>
      </c>
      <c r="K658" s="16">
        <v>0.73960000000000004</v>
      </c>
      <c r="L658" s="13">
        <v>0.40629999999999999</v>
      </c>
      <c r="M658" s="13">
        <v>4.0800000000000003E-2</v>
      </c>
      <c r="N658" s="13">
        <v>0.1154</v>
      </c>
      <c r="O658" s="13">
        <v>7.3999999999999996E-2</v>
      </c>
      <c r="P658" s="16">
        <v>0.87349999999999994</v>
      </c>
      <c r="Q658" s="16">
        <v>0.86360000000000003</v>
      </c>
      <c r="R658" s="16">
        <v>0.85769999999999991</v>
      </c>
      <c r="S658" s="16">
        <f t="shared" si="22"/>
        <v>0.86493333333333322</v>
      </c>
      <c r="T658" s="18">
        <v>0.155326137963397</v>
      </c>
      <c r="U658" s="1">
        <v>18.927444789999999</v>
      </c>
      <c r="V658" s="1">
        <f t="shared" si="21"/>
        <v>2.9920979167728841</v>
      </c>
      <c r="W658" s="26"/>
      <c r="X658">
        <v>4.4499999999999998E-2</v>
      </c>
      <c r="Y658" s="1">
        <v>0.66220000000000001</v>
      </c>
      <c r="Z658" s="1">
        <v>0.5081</v>
      </c>
      <c r="AA658" s="1">
        <v>32651</v>
      </c>
      <c r="AB658" s="1">
        <v>317</v>
      </c>
      <c r="AC658" s="29">
        <v>7681</v>
      </c>
    </row>
    <row r="659" spans="1:29" ht="25.5">
      <c r="A659" s="12">
        <v>47</v>
      </c>
      <c r="B659" s="12" t="s">
        <v>691</v>
      </c>
      <c r="C659" s="12">
        <v>47001</v>
      </c>
      <c r="D659" s="12" t="s">
        <v>715</v>
      </c>
      <c r="E659" s="17">
        <v>0.61069057264076321</v>
      </c>
      <c r="F659" s="17">
        <v>0.38929983940171142</v>
      </c>
      <c r="G659" s="13">
        <v>1</v>
      </c>
      <c r="H659" s="13">
        <v>1.5686830665916862</v>
      </c>
      <c r="I659" s="14">
        <v>13.346763738602023</v>
      </c>
      <c r="J659" s="16">
        <v>1.0303</v>
      </c>
      <c r="K659" s="16">
        <v>1.0269999999999999</v>
      </c>
      <c r="L659" s="13">
        <v>0.53710000000000002</v>
      </c>
      <c r="M659" s="13">
        <v>4.6600000000000003E-2</v>
      </c>
      <c r="N659" s="13">
        <v>8.7300000000000003E-2</v>
      </c>
      <c r="O659" s="13">
        <v>4.9500000000000002E-2</v>
      </c>
      <c r="P659" s="16">
        <v>0.19969999999999999</v>
      </c>
      <c r="Q659" s="16">
        <v>0.1636</v>
      </c>
      <c r="R659" s="16"/>
      <c r="S659" s="16">
        <f t="shared" si="22"/>
        <v>0.12109999999999999</v>
      </c>
      <c r="T659" s="18">
        <v>0.63071053413933198</v>
      </c>
      <c r="U659" s="1">
        <v>9.8102283690000007</v>
      </c>
      <c r="V659" s="1">
        <f t="shared" si="21"/>
        <v>2.3804927571449008</v>
      </c>
      <c r="W659" s="26"/>
      <c r="X659">
        <v>0.2626</v>
      </c>
      <c r="Y659" s="1">
        <v>1.5939000000000001</v>
      </c>
      <c r="Z659" s="1">
        <v>0.95309999999999995</v>
      </c>
      <c r="AA659" s="1">
        <v>574486</v>
      </c>
      <c r="AB659" s="1">
        <v>6218</v>
      </c>
      <c r="AC659" s="29">
        <v>120949</v>
      </c>
    </row>
    <row r="660" spans="1:29" ht="25.5">
      <c r="A660" s="12">
        <v>47</v>
      </c>
      <c r="B660" s="12" t="s">
        <v>691</v>
      </c>
      <c r="C660" s="12">
        <v>47030</v>
      </c>
      <c r="D660" s="12" t="s">
        <v>692</v>
      </c>
      <c r="E660" s="17">
        <v>0.63983407141655924</v>
      </c>
      <c r="F660" s="17">
        <v>0.36016592858344076</v>
      </c>
      <c r="G660" s="13">
        <v>1.0034876525848007</v>
      </c>
      <c r="H660" s="13">
        <v>1.7762215997510116</v>
      </c>
      <c r="I660" s="14">
        <v>9.7891984061340001</v>
      </c>
      <c r="J660" s="16">
        <v>0.80800000000000005</v>
      </c>
      <c r="K660" s="16">
        <v>0.80669999999999997</v>
      </c>
      <c r="L660" s="13">
        <v>0.46820000000000001</v>
      </c>
      <c r="M660" s="13">
        <v>2.8500000000000001E-2</v>
      </c>
      <c r="N660" s="13">
        <v>8.0500000000000002E-2</v>
      </c>
      <c r="O660" s="13">
        <v>4.2500000000000003E-2</v>
      </c>
      <c r="P660" s="16">
        <v>0.64119999999999999</v>
      </c>
      <c r="Q660" s="16">
        <v>4.5100000000000001E-2</v>
      </c>
      <c r="R660" s="16">
        <v>0.99870000000000003</v>
      </c>
      <c r="S660" s="16">
        <f t="shared" si="22"/>
        <v>0.56166666666666665</v>
      </c>
      <c r="T660" s="18">
        <v>0.34553521907931201</v>
      </c>
      <c r="U660" s="1">
        <v>18.75</v>
      </c>
      <c r="V660" s="1">
        <f t="shared" si="21"/>
        <v>2.9831534913471307</v>
      </c>
      <c r="W660" s="25"/>
      <c r="X660">
        <v>3.9600000000000003E-2</v>
      </c>
      <c r="Y660" s="1">
        <v>0.15190000000000001</v>
      </c>
      <c r="Z660" s="1">
        <v>0.1414</v>
      </c>
      <c r="AA660" s="1">
        <v>18615</v>
      </c>
      <c r="AB660" s="1">
        <v>160</v>
      </c>
      <c r="AC660" s="29">
        <v>5089</v>
      </c>
    </row>
    <row r="661" spans="1:29" ht="25.5">
      <c r="A661" s="12">
        <v>47</v>
      </c>
      <c r="B661" s="12" t="s">
        <v>691</v>
      </c>
      <c r="C661" s="12">
        <v>47053</v>
      </c>
      <c r="D661" s="12" t="s">
        <v>693</v>
      </c>
      <c r="E661" s="17">
        <v>0.89997947595265781</v>
      </c>
      <c r="F661" s="17">
        <v>0.10002052404734213</v>
      </c>
      <c r="G661" s="13">
        <v>0.64402000308417595</v>
      </c>
      <c r="H661" s="13">
        <v>8.9948717948717949</v>
      </c>
      <c r="I661" s="14">
        <v>10.283121900609771</v>
      </c>
      <c r="J661" s="16">
        <v>0.80179999999999996</v>
      </c>
      <c r="K661" s="16">
        <v>0.79959999999999998</v>
      </c>
      <c r="L661" s="13">
        <v>0.33079999999999998</v>
      </c>
      <c r="M661" s="13">
        <v>3.15E-2</v>
      </c>
      <c r="N661" s="13">
        <v>0.1144</v>
      </c>
      <c r="O661" s="13">
        <v>6.3799999999999996E-2</v>
      </c>
      <c r="P661" s="16">
        <v>1</v>
      </c>
      <c r="Q661" s="16">
        <v>0.47009999999999996</v>
      </c>
      <c r="R661" s="16">
        <v>1</v>
      </c>
      <c r="S661" s="16">
        <f t="shared" si="22"/>
        <v>0.82336666666666669</v>
      </c>
      <c r="T661" s="18">
        <v>0.589906908378246</v>
      </c>
      <c r="U661" s="1">
        <v>5.8479532159999996</v>
      </c>
      <c r="V661" s="1">
        <f t="shared" si="21"/>
        <v>1.9239498070404033</v>
      </c>
      <c r="W661" s="26"/>
      <c r="X661">
        <v>4.6300000000000001E-2</v>
      </c>
      <c r="Y661" s="1">
        <v>0.12529999999999999</v>
      </c>
      <c r="Z661" s="1">
        <v>0.1181</v>
      </c>
      <c r="AA661" s="1">
        <v>44403</v>
      </c>
      <c r="AB661" s="1">
        <v>342</v>
      </c>
      <c r="AC661" s="29">
        <v>11870</v>
      </c>
    </row>
    <row r="662" spans="1:29" ht="25.5">
      <c r="A662" s="12">
        <v>47</v>
      </c>
      <c r="B662" s="12" t="s">
        <v>691</v>
      </c>
      <c r="C662" s="12">
        <v>47058</v>
      </c>
      <c r="D662" s="12" t="s">
        <v>694</v>
      </c>
      <c r="E662" s="17">
        <v>0.95058957417886381</v>
      </c>
      <c r="F662" s="17">
        <v>4.9410425821136153E-2</v>
      </c>
      <c r="G662" s="13">
        <v>0.92719172260163552</v>
      </c>
      <c r="H662" s="13">
        <v>19.226342710997443</v>
      </c>
      <c r="I662" s="14">
        <v>10.361987770523434</v>
      </c>
      <c r="J662" s="16">
        <v>0.9052</v>
      </c>
      <c r="K662" s="16">
        <v>0.89749999999999996</v>
      </c>
      <c r="L662" s="13">
        <v>0.38490000000000002</v>
      </c>
      <c r="M662" s="13">
        <v>1.78E-2</v>
      </c>
      <c r="N662" s="13">
        <v>8.7499999999999994E-2</v>
      </c>
      <c r="O662" s="13">
        <v>2.24E-2</v>
      </c>
      <c r="P662" s="16">
        <v>0.56380000000000008</v>
      </c>
      <c r="Q662" s="16">
        <v>8.4000000000000005E-2</v>
      </c>
      <c r="R662" s="16">
        <v>0.5242</v>
      </c>
      <c r="S662" s="16">
        <f t="shared" si="22"/>
        <v>0.39066666666666672</v>
      </c>
      <c r="T662" s="18">
        <v>0.17193877551020401</v>
      </c>
      <c r="U662" s="1">
        <v>10.58201058</v>
      </c>
      <c r="V662" s="1">
        <f t="shared" si="21"/>
        <v>2.4494530822896254</v>
      </c>
      <c r="W662" s="25"/>
      <c r="X662">
        <v>6.9000000000000006E-2</v>
      </c>
      <c r="Y662" s="1">
        <v>0.15290000000000001</v>
      </c>
      <c r="Z662" s="1">
        <v>0.14230000000000001</v>
      </c>
      <c r="AA662" s="1">
        <v>31525</v>
      </c>
      <c r="AB662" s="1">
        <v>378</v>
      </c>
      <c r="AC662" s="29">
        <v>7885</v>
      </c>
    </row>
    <row r="663" spans="1:29" ht="25.5">
      <c r="A663" s="12">
        <v>47</v>
      </c>
      <c r="B663" s="12" t="s">
        <v>691</v>
      </c>
      <c r="C663" s="12">
        <v>47161</v>
      </c>
      <c r="D663" s="12" t="s">
        <v>695</v>
      </c>
      <c r="E663" s="17">
        <v>0.9631483651081052</v>
      </c>
      <c r="F663" s="17">
        <v>3.6851634891894768E-2</v>
      </c>
      <c r="G663" s="13">
        <v>0.83221060095727706</v>
      </c>
      <c r="H663" s="13">
        <v>26.060518731988473</v>
      </c>
      <c r="I663" s="14">
        <v>9.147400572202308</v>
      </c>
      <c r="J663" s="16">
        <v>0.74729999999999996</v>
      </c>
      <c r="K663" s="16">
        <v>0.74729999999999996</v>
      </c>
      <c r="L663" s="13">
        <v>0.31480000000000002</v>
      </c>
      <c r="M663" s="13">
        <v>6.2799999999999995E-2</v>
      </c>
      <c r="N663" s="13">
        <v>0.16600000000000001</v>
      </c>
      <c r="O663" s="13">
        <v>8.8999999999999996E-2</v>
      </c>
      <c r="P663" s="16">
        <v>0.61070000000000002</v>
      </c>
      <c r="Q663" s="16">
        <v>0</v>
      </c>
      <c r="R663" s="16">
        <v>0.44020000000000004</v>
      </c>
      <c r="S663" s="16">
        <f t="shared" si="22"/>
        <v>0.3503</v>
      </c>
      <c r="T663" s="18">
        <v>0.58177379983726607</v>
      </c>
      <c r="U663" s="1">
        <v>0</v>
      </c>
      <c r="V663" s="1">
        <f t="shared" si="21"/>
        <v>0</v>
      </c>
      <c r="W663" s="26"/>
      <c r="X663">
        <v>5.4999999999999997E-3</v>
      </c>
      <c r="Y663" s="1">
        <v>0.38159999999999999</v>
      </c>
      <c r="Z663" s="1">
        <v>0.32329999999999998</v>
      </c>
      <c r="AA663" s="1">
        <v>11374</v>
      </c>
      <c r="AB663" s="1">
        <v>68</v>
      </c>
      <c r="AC663" s="29">
        <v>2604</v>
      </c>
    </row>
    <row r="664" spans="1:29" ht="25.5">
      <c r="A664" s="12">
        <v>47</v>
      </c>
      <c r="B664" s="12" t="s">
        <v>691</v>
      </c>
      <c r="C664" s="12">
        <v>47170</v>
      </c>
      <c r="D664" s="12" t="s">
        <v>696</v>
      </c>
      <c r="E664" s="17">
        <v>0.95246010638297873</v>
      </c>
      <c r="F664" s="17">
        <v>4.7539893617021274E-2</v>
      </c>
      <c r="G664" s="13">
        <v>0.84453714102358413</v>
      </c>
      <c r="H664" s="13">
        <v>20.014970059880241</v>
      </c>
      <c r="I664" s="14">
        <v>9.9549883253985314</v>
      </c>
      <c r="J664" s="16">
        <v>0.79810000000000003</v>
      </c>
      <c r="K664" s="16">
        <v>0.79730000000000001</v>
      </c>
      <c r="L664" s="13">
        <v>0.34260000000000002</v>
      </c>
      <c r="M664" s="13">
        <v>3.1800000000000002E-2</v>
      </c>
      <c r="N664" s="13">
        <v>7.1599999999999997E-2</v>
      </c>
      <c r="O664" s="13">
        <v>1.6199999999999999E-2</v>
      </c>
      <c r="P664" s="16">
        <v>0.78220000000000001</v>
      </c>
      <c r="Q664" s="16">
        <v>0.70940000000000003</v>
      </c>
      <c r="R664" s="16">
        <v>0.63619999999999999</v>
      </c>
      <c r="S664" s="16">
        <f t="shared" si="22"/>
        <v>0.70926666666666671</v>
      </c>
      <c r="T664" s="18">
        <v>0.26637690158335903</v>
      </c>
      <c r="U664" s="1">
        <v>17.482517479999998</v>
      </c>
      <c r="V664" s="1">
        <f t="shared" si="21"/>
        <v>2.9168252842081728</v>
      </c>
      <c r="W664" s="25"/>
      <c r="X664">
        <v>1.55E-2</v>
      </c>
      <c r="Y664" s="1">
        <v>0.11509999999999999</v>
      </c>
      <c r="Z664" s="1">
        <v>0.1089</v>
      </c>
      <c r="AA664" s="1">
        <v>25934</v>
      </c>
      <c r="AB664" s="1">
        <v>286</v>
      </c>
      <c r="AC664" s="29">
        <v>6407</v>
      </c>
    </row>
    <row r="665" spans="1:29" ht="25.5">
      <c r="A665" s="12">
        <v>47</v>
      </c>
      <c r="B665" s="12" t="s">
        <v>691</v>
      </c>
      <c r="C665" s="12">
        <v>47189</v>
      </c>
      <c r="D665" s="12" t="s">
        <v>697</v>
      </c>
      <c r="E665" s="17">
        <v>0.70397183213697101</v>
      </c>
      <c r="F665" s="17">
        <v>0.29602816786302899</v>
      </c>
      <c r="G665" s="13">
        <v>1</v>
      </c>
      <c r="H665" s="13">
        <v>2.3780022085212109</v>
      </c>
      <c r="I665" s="14">
        <v>11.897064786363641</v>
      </c>
      <c r="J665" s="16">
        <v>0.91400000000000003</v>
      </c>
      <c r="K665" s="16">
        <v>0.91</v>
      </c>
      <c r="L665" s="13">
        <v>0.37640000000000001</v>
      </c>
      <c r="M665" s="13">
        <v>5.2900000000000003E-2</v>
      </c>
      <c r="N665" s="13">
        <v>0.1172</v>
      </c>
      <c r="O665" s="13">
        <v>5.3499999999999999E-2</v>
      </c>
      <c r="P665" s="16">
        <v>0.8347</v>
      </c>
      <c r="Q665" s="16">
        <v>0.66480000000000006</v>
      </c>
      <c r="R665" s="16">
        <v>0.97770000000000001</v>
      </c>
      <c r="S665" s="16">
        <f t="shared" si="22"/>
        <v>0.82573333333333332</v>
      </c>
      <c r="T665" s="18">
        <v>0.59076122316200297</v>
      </c>
      <c r="U665" s="1">
        <v>14.9142431</v>
      </c>
      <c r="V665" s="1">
        <f t="shared" si="21"/>
        <v>2.7672145006964035</v>
      </c>
      <c r="W665" s="26"/>
      <c r="X665">
        <v>9.0999999999999998E-2</v>
      </c>
      <c r="Y665" s="1">
        <v>0.57940000000000003</v>
      </c>
      <c r="Z665" s="1">
        <v>0.45710000000000001</v>
      </c>
      <c r="AA665" s="1">
        <v>136851</v>
      </c>
      <c r="AB665" s="1">
        <v>1341</v>
      </c>
      <c r="AC665" s="29">
        <v>32182</v>
      </c>
    </row>
    <row r="666" spans="1:29" ht="25.5">
      <c r="A666" s="12">
        <v>47</v>
      </c>
      <c r="B666" s="12" t="s">
        <v>691</v>
      </c>
      <c r="C666" s="12">
        <v>47205</v>
      </c>
      <c r="D666" s="12" t="s">
        <v>51</v>
      </c>
      <c r="E666" s="17">
        <v>0.96876197776926021</v>
      </c>
      <c r="F666" s="17">
        <v>3.1238022230739747E-2</v>
      </c>
      <c r="G666" s="13">
        <v>0.87653284058457925</v>
      </c>
      <c r="H666" s="13">
        <v>30.917431192660551</v>
      </c>
      <c r="I666" s="14">
        <v>9.2531124638200524</v>
      </c>
      <c r="J666" s="16">
        <v>0.87319999999999998</v>
      </c>
      <c r="K666" s="16">
        <v>0.87319999999999998</v>
      </c>
      <c r="L666" s="13">
        <v>0.47070000000000001</v>
      </c>
      <c r="M666" s="13">
        <v>3.9699999999999999E-2</v>
      </c>
      <c r="N666" s="13">
        <v>8.5500000000000007E-2</v>
      </c>
      <c r="O666" s="13">
        <v>2.69E-2</v>
      </c>
      <c r="P666" s="16">
        <v>0.8347</v>
      </c>
      <c r="Q666" s="16">
        <v>0.8347</v>
      </c>
      <c r="R666" s="16">
        <v>0.8347</v>
      </c>
      <c r="S666" s="16">
        <f t="shared" si="22"/>
        <v>0.83470000000000011</v>
      </c>
      <c r="T666" s="18">
        <v>0.57459207459207395</v>
      </c>
      <c r="U666" s="1">
        <v>0</v>
      </c>
      <c r="V666" s="1">
        <f t="shared" si="21"/>
        <v>0</v>
      </c>
      <c r="W666" s="25"/>
      <c r="X666">
        <v>2.87E-2</v>
      </c>
      <c r="Y666" s="1">
        <v>0.25590000000000002</v>
      </c>
      <c r="Z666" s="1">
        <v>0.2278</v>
      </c>
      <c r="AA666" s="1">
        <v>11170</v>
      </c>
      <c r="AB666" s="1">
        <v>35</v>
      </c>
      <c r="AC666" s="29">
        <v>2476</v>
      </c>
    </row>
    <row r="667" spans="1:29" ht="25.5">
      <c r="A667" s="12">
        <v>47</v>
      </c>
      <c r="B667" s="12" t="s">
        <v>691</v>
      </c>
      <c r="C667" s="12">
        <v>47245</v>
      </c>
      <c r="D667" s="12" t="s">
        <v>698</v>
      </c>
      <c r="E667" s="17">
        <v>0.88964507469970988</v>
      </c>
      <c r="F667" s="17">
        <v>0.11034136818415986</v>
      </c>
      <c r="G667" s="13">
        <v>0.99480761190607847</v>
      </c>
      <c r="H667" s="13">
        <v>8.0616707616707615</v>
      </c>
      <c r="I667" s="14">
        <v>11.208612529854566</v>
      </c>
      <c r="J667" s="16">
        <v>0.95789999999999997</v>
      </c>
      <c r="K667" s="16">
        <v>0.95720000000000005</v>
      </c>
      <c r="L667" s="13">
        <v>0.4728</v>
      </c>
      <c r="M667" s="13">
        <v>2.81E-2</v>
      </c>
      <c r="N667" s="13">
        <v>9.3299999999999994E-2</v>
      </c>
      <c r="O667" s="13">
        <v>3.3300000000000003E-2</v>
      </c>
      <c r="P667" s="16">
        <v>0.73629999999999995</v>
      </c>
      <c r="Q667" s="16">
        <v>0.30930000000000002</v>
      </c>
      <c r="R667" s="16">
        <v>0.53979999999999995</v>
      </c>
      <c r="S667" s="16">
        <f t="shared" si="22"/>
        <v>0.52846666666666664</v>
      </c>
      <c r="T667" s="18">
        <v>0.24360457642370398</v>
      </c>
      <c r="U667" s="1">
        <v>13.02083333</v>
      </c>
      <c r="V667" s="1">
        <f t="shared" si="21"/>
        <v>2.6405443184990953</v>
      </c>
      <c r="W667" s="26"/>
      <c r="X667">
        <v>2.7699999999999999E-2</v>
      </c>
      <c r="Y667" s="1">
        <v>0.29210000000000003</v>
      </c>
      <c r="Z667" s="1">
        <v>0.25629999999999997</v>
      </c>
      <c r="AA667" s="1">
        <v>75024</v>
      </c>
      <c r="AB667" s="1">
        <v>768</v>
      </c>
      <c r="AC667" s="29">
        <v>18961</v>
      </c>
    </row>
    <row r="668" spans="1:29" ht="25.5">
      <c r="A668" s="12">
        <v>47</v>
      </c>
      <c r="B668" s="12" t="s">
        <v>691</v>
      </c>
      <c r="C668" s="12">
        <v>47258</v>
      </c>
      <c r="D668" s="12" t="s">
        <v>700</v>
      </c>
      <c r="E668" s="17">
        <v>0.95797712221553277</v>
      </c>
      <c r="F668" s="17">
        <v>4.2022877784467186E-2</v>
      </c>
      <c r="G668" s="13">
        <v>0.6464544251576243</v>
      </c>
      <c r="H668" s="13">
        <v>22.763948497854077</v>
      </c>
      <c r="I668" s="14">
        <v>9.7178204054910768</v>
      </c>
      <c r="J668" s="16">
        <v>0.69279999999999997</v>
      </c>
      <c r="K668" s="16">
        <v>0.69279999999999997</v>
      </c>
      <c r="L668" s="13">
        <v>0.39500000000000002</v>
      </c>
      <c r="M668" s="13">
        <v>3.3000000000000002E-2</v>
      </c>
      <c r="N668" s="13">
        <v>8.4199999999999997E-2</v>
      </c>
      <c r="O668" s="13">
        <v>6.2E-2</v>
      </c>
      <c r="P668" s="16">
        <v>0.41090000000000004</v>
      </c>
      <c r="Q668" s="16">
        <v>0.23010000000000003</v>
      </c>
      <c r="R668" s="16">
        <v>0.23010000000000003</v>
      </c>
      <c r="S668" s="16">
        <f t="shared" si="22"/>
        <v>0.29036666666666666</v>
      </c>
      <c r="T668" s="18">
        <v>0.43537919525310498</v>
      </c>
      <c r="U668" s="1">
        <v>26.143790849999998</v>
      </c>
      <c r="V668" s="1">
        <f t="shared" si="21"/>
        <v>3.3011483222503575</v>
      </c>
      <c r="W668" s="26"/>
      <c r="X668">
        <v>9.7999999999999997E-3</v>
      </c>
      <c r="Y668" s="1">
        <v>0.17180000000000001</v>
      </c>
      <c r="Z668" s="1">
        <v>0.15859999999999999</v>
      </c>
      <c r="AA668" s="1">
        <v>26170</v>
      </c>
      <c r="AB668" s="1">
        <v>153</v>
      </c>
      <c r="AC668" s="29">
        <v>6118</v>
      </c>
    </row>
    <row r="669" spans="1:29" ht="25.5">
      <c r="A669" s="12">
        <v>47</v>
      </c>
      <c r="B669" s="12" t="s">
        <v>691</v>
      </c>
      <c r="C669" s="12">
        <v>47268</v>
      </c>
      <c r="D669" s="12" t="s">
        <v>701</v>
      </c>
      <c r="E669" s="17">
        <v>0.91943726987965047</v>
      </c>
      <c r="F669" s="17">
        <v>8.0507776007034126E-2</v>
      </c>
      <c r="G669" s="13">
        <v>0.83186285714285713</v>
      </c>
      <c r="H669" s="13">
        <v>11.412687585266029</v>
      </c>
      <c r="I669" s="14">
        <v>9.8090669769166361</v>
      </c>
      <c r="J669" s="16">
        <v>0.94550000000000001</v>
      </c>
      <c r="K669" s="16">
        <v>0.94420000000000004</v>
      </c>
      <c r="L669" s="13">
        <v>0.42749999999999999</v>
      </c>
      <c r="M669" s="13">
        <v>2.1499999999999998E-2</v>
      </c>
      <c r="N669" s="13">
        <v>0.1158</v>
      </c>
      <c r="O669" s="13">
        <v>5.3199999999999997E-2</v>
      </c>
      <c r="P669" s="16">
        <v>0.73790000000000011</v>
      </c>
      <c r="Q669" s="16">
        <v>0</v>
      </c>
      <c r="R669" s="16">
        <v>0.73790000000000011</v>
      </c>
      <c r="S669" s="16">
        <f t="shared" si="22"/>
        <v>0.49193333333333339</v>
      </c>
      <c r="T669" s="18">
        <v>0.56946354883081096</v>
      </c>
      <c r="U669" s="1">
        <v>15.38461538</v>
      </c>
      <c r="V669" s="1">
        <f t="shared" si="21"/>
        <v>2.7963428079661981</v>
      </c>
      <c r="W669" s="25"/>
      <c r="X669">
        <v>4.9099999999999998E-2</v>
      </c>
      <c r="Y669" s="1">
        <v>0.41389999999999999</v>
      </c>
      <c r="Z669" s="1">
        <v>0.34639999999999999</v>
      </c>
      <c r="AA669" s="1">
        <v>21274</v>
      </c>
      <c r="AB669" s="1">
        <v>260</v>
      </c>
      <c r="AC669" s="29">
        <v>5700</v>
      </c>
    </row>
    <row r="670" spans="1:29" ht="25.5">
      <c r="A670" s="12">
        <v>47</v>
      </c>
      <c r="B670" s="12" t="s">
        <v>691</v>
      </c>
      <c r="C670" s="12">
        <v>47288</v>
      </c>
      <c r="D670" s="12" t="s">
        <v>702</v>
      </c>
      <c r="E670" s="17">
        <v>0.74915170837220268</v>
      </c>
      <c r="F670" s="17">
        <v>0.25084829162779732</v>
      </c>
      <c r="G670" s="13">
        <v>1</v>
      </c>
      <c r="H670" s="13">
        <v>2.9863511912059173</v>
      </c>
      <c r="I670" s="14">
        <v>11.488120346051257</v>
      </c>
      <c r="J670" s="16">
        <v>0.94840000000000002</v>
      </c>
      <c r="K670" s="16">
        <v>0.94220000000000004</v>
      </c>
      <c r="L670" s="13">
        <v>0.44319999999999998</v>
      </c>
      <c r="M670" s="13">
        <v>1.5699999999999999E-2</v>
      </c>
      <c r="N670" s="13">
        <v>8.77E-2</v>
      </c>
      <c r="O670" s="13">
        <v>3.7600000000000001E-2</v>
      </c>
      <c r="P670" s="16">
        <v>0.98919999999999997</v>
      </c>
      <c r="Q670" s="16">
        <v>0.98919999999999997</v>
      </c>
      <c r="R670" s="16">
        <v>0.998</v>
      </c>
      <c r="S670" s="16">
        <f t="shared" si="22"/>
        <v>0.99213333333333331</v>
      </c>
      <c r="T670" s="18">
        <v>0.849203539823009</v>
      </c>
      <c r="U670" s="1">
        <v>8.4745762710000001</v>
      </c>
      <c r="V670" s="1">
        <f t="shared" si="21"/>
        <v>2.2486120292297018</v>
      </c>
      <c r="W670" s="26"/>
      <c r="X670">
        <v>7.0300000000000001E-2</v>
      </c>
      <c r="Y670" s="1">
        <v>0.2495</v>
      </c>
      <c r="Z670" s="1">
        <v>0.22270000000000001</v>
      </c>
      <c r="AA670" s="1">
        <v>75360</v>
      </c>
      <c r="AB670" s="1">
        <v>1062</v>
      </c>
      <c r="AC670" s="29">
        <v>19178</v>
      </c>
    </row>
    <row r="671" spans="1:29" ht="25.5">
      <c r="A671" s="12">
        <v>47</v>
      </c>
      <c r="B671" s="12" t="s">
        <v>691</v>
      </c>
      <c r="C671" s="12">
        <v>47318</v>
      </c>
      <c r="D671" s="12" t="s">
        <v>703</v>
      </c>
      <c r="E671" s="17">
        <v>0.93886986301369868</v>
      </c>
      <c r="F671" s="17">
        <v>6.1130136986301369E-2</v>
      </c>
      <c r="G671" s="13">
        <v>0.96198194636621204</v>
      </c>
      <c r="H671" s="13">
        <v>15.349944008958566</v>
      </c>
      <c r="I671" s="14">
        <v>10.281958234245314</v>
      </c>
      <c r="J671" s="16">
        <v>0.89200000000000002</v>
      </c>
      <c r="K671" s="16">
        <v>0.8911</v>
      </c>
      <c r="L671" s="13">
        <v>0.49819999999999998</v>
      </c>
      <c r="M671" s="13">
        <v>3.1899999999999998E-2</v>
      </c>
      <c r="N671" s="13">
        <v>7.3499999999999996E-2</v>
      </c>
      <c r="O671" s="13">
        <v>3.1600000000000003E-2</v>
      </c>
      <c r="P671" s="16">
        <v>0.62159999999999993</v>
      </c>
      <c r="Q671" s="16">
        <v>0.3987</v>
      </c>
      <c r="R671" s="16">
        <v>0.3538</v>
      </c>
      <c r="S671" s="16">
        <f t="shared" si="22"/>
        <v>0.45803333333333329</v>
      </c>
      <c r="T671" s="18">
        <v>0.60034453057708803</v>
      </c>
      <c r="U671" s="1">
        <v>3.8022813690000001</v>
      </c>
      <c r="V671" s="1">
        <f t="shared" si="21"/>
        <v>1.5690910902099395</v>
      </c>
      <c r="W671" s="25"/>
      <c r="X671">
        <v>1.8599999999999998E-2</v>
      </c>
      <c r="Y671" s="1">
        <v>0.2021</v>
      </c>
      <c r="Z671" s="1">
        <v>0.18410000000000001</v>
      </c>
      <c r="AA671" s="1">
        <v>28668</v>
      </c>
      <c r="AB671" s="1">
        <v>263</v>
      </c>
      <c r="AC671" s="29">
        <v>7136</v>
      </c>
    </row>
    <row r="672" spans="1:29" ht="25.5">
      <c r="A672" s="12">
        <v>47</v>
      </c>
      <c r="B672" s="12" t="s">
        <v>691</v>
      </c>
      <c r="C672" s="12">
        <v>47460</v>
      </c>
      <c r="D672" s="12" t="s">
        <v>704</v>
      </c>
      <c r="E672" s="17">
        <v>0.94406722118485831</v>
      </c>
      <c r="F672" s="17">
        <v>5.5932778815141741E-2</v>
      </c>
      <c r="G672" s="13">
        <v>1</v>
      </c>
      <c r="H672" s="13">
        <v>16.865807429871115</v>
      </c>
      <c r="I672" s="14">
        <v>10.067517839357832</v>
      </c>
      <c r="J672" s="16">
        <v>0.92649999999999999</v>
      </c>
      <c r="K672" s="16">
        <v>0.92420000000000002</v>
      </c>
      <c r="L672" s="13">
        <v>0.31909999999999999</v>
      </c>
      <c r="M672" s="13">
        <v>1.4999999999999999E-2</v>
      </c>
      <c r="N672" s="13">
        <v>0.10440000000000001</v>
      </c>
      <c r="O672" s="13">
        <v>5.8599999999999999E-2</v>
      </c>
      <c r="P672" s="16">
        <v>0.64139999999999997</v>
      </c>
      <c r="Q672" s="16">
        <v>0.65620000000000001</v>
      </c>
      <c r="R672" s="16">
        <v>0.65620000000000001</v>
      </c>
      <c r="S672" s="16">
        <f t="shared" si="22"/>
        <v>0.65126666666666677</v>
      </c>
      <c r="T672" s="18">
        <v>0.30358449158741702</v>
      </c>
      <c r="U672" s="1">
        <v>6.8493150680000001</v>
      </c>
      <c r="V672" s="1">
        <f t="shared" si="21"/>
        <v>2.0604262755035214</v>
      </c>
      <c r="W672" s="26"/>
      <c r="X672">
        <v>4.0300000000000002E-2</v>
      </c>
      <c r="Y672" s="1">
        <v>0.11360000000000001</v>
      </c>
      <c r="Z672" s="1">
        <v>0.1076</v>
      </c>
      <c r="AA672" s="1">
        <v>22650</v>
      </c>
      <c r="AB672" s="1">
        <v>292</v>
      </c>
      <c r="AC672" s="29">
        <v>6032</v>
      </c>
    </row>
    <row r="673" spans="1:29" ht="25.5">
      <c r="A673" s="12">
        <v>47</v>
      </c>
      <c r="B673" s="12" t="s">
        <v>691</v>
      </c>
      <c r="C673" s="12">
        <v>47541</v>
      </c>
      <c r="D673" s="12" t="s">
        <v>705</v>
      </c>
      <c r="E673" s="17">
        <v>0.9732083792723264</v>
      </c>
      <c r="F673" s="17">
        <v>2.6791620727673649E-2</v>
      </c>
      <c r="G673" s="13">
        <v>0.86020485584218509</v>
      </c>
      <c r="H673" s="13">
        <v>36.17622950819672</v>
      </c>
      <c r="I673" s="14">
        <v>9.1128377906149449</v>
      </c>
      <c r="J673" s="16">
        <v>0.79059999999999997</v>
      </c>
      <c r="K673" s="16">
        <v>0.79059999999999997</v>
      </c>
      <c r="L673" s="13">
        <v>0.32700000000000001</v>
      </c>
      <c r="M673" s="13">
        <v>1.9E-2</v>
      </c>
      <c r="N673" s="13">
        <v>0.1328</v>
      </c>
      <c r="O673" s="13">
        <v>4.6100000000000002E-2</v>
      </c>
      <c r="P673" s="16">
        <v>0.50740000000000007</v>
      </c>
      <c r="Q673" s="16">
        <v>0.16579999999999998</v>
      </c>
      <c r="R673" s="16">
        <v>0</v>
      </c>
      <c r="S673" s="16">
        <f t="shared" si="22"/>
        <v>0.22440000000000002</v>
      </c>
      <c r="T673" s="18">
        <v>0.19345362987830397</v>
      </c>
      <c r="U673" s="1">
        <v>21.276595740000001</v>
      </c>
      <c r="V673" s="1">
        <f t="shared" si="21"/>
        <v>3.1035366089503542</v>
      </c>
      <c r="W673" s="25"/>
      <c r="X673">
        <v>9.1999999999999998E-3</v>
      </c>
      <c r="Y673" s="1">
        <v>0.16059999999999999</v>
      </c>
      <c r="Z673" s="1">
        <v>0.1489</v>
      </c>
      <c r="AA673" s="1">
        <v>10248</v>
      </c>
      <c r="AB673" s="1">
        <v>47</v>
      </c>
      <c r="AC673" s="29">
        <v>2457</v>
      </c>
    </row>
    <row r="674" spans="1:29" ht="25.5">
      <c r="A674" s="12">
        <v>47</v>
      </c>
      <c r="B674" s="12" t="s">
        <v>691</v>
      </c>
      <c r="C674" s="12">
        <v>47545</v>
      </c>
      <c r="D674" s="12" t="s">
        <v>699</v>
      </c>
      <c r="E674" s="17">
        <v>0.94797103889543699</v>
      </c>
      <c r="F674" s="17">
        <v>5.2028961104563058E-2</v>
      </c>
      <c r="G674" s="13">
        <v>0.86859232175502743</v>
      </c>
      <c r="H674" s="13">
        <v>18.190630048465266</v>
      </c>
      <c r="I674" s="14">
        <v>9.3825274142895392</v>
      </c>
      <c r="J674" s="16">
        <v>1.0643</v>
      </c>
      <c r="K674" s="16">
        <v>1.0640000000000001</v>
      </c>
      <c r="L674" s="13">
        <v>0.49249999999999999</v>
      </c>
      <c r="M674" s="13">
        <v>4.7300000000000002E-2</v>
      </c>
      <c r="N674" s="13">
        <v>9.2200000000000004E-2</v>
      </c>
      <c r="O674" s="13">
        <v>3.1699999999999999E-2</v>
      </c>
      <c r="P674" s="16">
        <v>0.57379999999999998</v>
      </c>
      <c r="Q674" s="16">
        <v>0.45960000000000001</v>
      </c>
      <c r="R674" s="16">
        <v>0.49130000000000001</v>
      </c>
      <c r="S674" s="16">
        <f t="shared" si="22"/>
        <v>0.50823333333333331</v>
      </c>
      <c r="T674" s="18">
        <v>0.216871967151922</v>
      </c>
      <c r="U674" s="1">
        <v>13.24503311</v>
      </c>
      <c r="V674" s="1">
        <f t="shared" si="21"/>
        <v>2.6564082922714949</v>
      </c>
      <c r="W674" s="25"/>
      <c r="X674">
        <v>3.61E-2</v>
      </c>
      <c r="Y674" s="1">
        <v>8.6199999999999999E-2</v>
      </c>
      <c r="Z674" s="1">
        <v>8.2699999999999996E-2</v>
      </c>
      <c r="AA674" s="1">
        <v>14019</v>
      </c>
      <c r="AB674" s="1">
        <v>151</v>
      </c>
      <c r="AC674" s="29">
        <v>4037</v>
      </c>
    </row>
    <row r="675" spans="1:29" ht="25.5">
      <c r="A675" s="12">
        <v>47</v>
      </c>
      <c r="B675" s="12" t="s">
        <v>691</v>
      </c>
      <c r="C675" s="12">
        <v>47551</v>
      </c>
      <c r="D675" s="12" t="s">
        <v>706</v>
      </c>
      <c r="E675" s="17">
        <v>0.91617802556954719</v>
      </c>
      <c r="F675" s="17">
        <v>8.382197443045275E-2</v>
      </c>
      <c r="G675" s="13">
        <v>0.98756407822289727</v>
      </c>
      <c r="H675" s="13">
        <v>10.926913155631986</v>
      </c>
      <c r="I675" s="14">
        <v>10.636167897431401</v>
      </c>
      <c r="J675" s="16">
        <v>0.90600000000000003</v>
      </c>
      <c r="K675" s="16">
        <v>0.90539999999999998</v>
      </c>
      <c r="L675" s="13">
        <v>0.41089999999999999</v>
      </c>
      <c r="M675" s="13">
        <v>5.8099999999999999E-2</v>
      </c>
      <c r="N675" s="13">
        <v>0.1318</v>
      </c>
      <c r="O675" s="13">
        <v>6.7599999999999993E-2</v>
      </c>
      <c r="P675" s="16">
        <v>0.42080000000000001</v>
      </c>
      <c r="Q675" s="16">
        <v>0.39439999999999997</v>
      </c>
      <c r="R675" s="16">
        <v>0.42049999999999998</v>
      </c>
      <c r="S675" s="16">
        <f t="shared" si="22"/>
        <v>0.41189999999999999</v>
      </c>
      <c r="T675" s="18">
        <v>0.53758841914788602</v>
      </c>
      <c r="U675" s="1">
        <v>16.304347830000001</v>
      </c>
      <c r="V675" s="1">
        <f t="shared" si="21"/>
        <v>2.8509577895814187</v>
      </c>
      <c r="W675" s="26"/>
      <c r="X675">
        <v>4.9500000000000002E-2</v>
      </c>
      <c r="Y675" s="1">
        <v>0.1411</v>
      </c>
      <c r="Z675" s="1">
        <v>0.13200000000000001</v>
      </c>
      <c r="AA675" s="1">
        <v>40406</v>
      </c>
      <c r="AB675" s="1">
        <v>368</v>
      </c>
      <c r="AC675" s="29">
        <v>9099</v>
      </c>
    </row>
    <row r="676" spans="1:29" ht="25.5">
      <c r="A676" s="12">
        <v>47</v>
      </c>
      <c r="B676" s="12" t="s">
        <v>691</v>
      </c>
      <c r="C676" s="12">
        <v>47555</v>
      </c>
      <c r="D676" s="12" t="s">
        <v>707</v>
      </c>
      <c r="E676" s="17">
        <v>0.88738867708443214</v>
      </c>
      <c r="F676" s="17">
        <v>0.11261132291556789</v>
      </c>
      <c r="G676" s="13">
        <v>0.94050369194574757</v>
      </c>
      <c r="H676" s="13">
        <v>7.8790473641958787</v>
      </c>
      <c r="I676" s="14">
        <v>11.102879882487954</v>
      </c>
      <c r="J676" s="16">
        <v>0.81379999999999997</v>
      </c>
      <c r="K676" s="16">
        <v>0.81340000000000001</v>
      </c>
      <c r="L676" s="13">
        <v>0.33689999999999998</v>
      </c>
      <c r="M676" s="13">
        <v>1.3899999999999999E-2</v>
      </c>
      <c r="N676" s="13">
        <v>9.2499999999999999E-2</v>
      </c>
      <c r="O676" s="13">
        <v>2.7300000000000001E-2</v>
      </c>
      <c r="P676" s="16">
        <v>0.9998999999999999</v>
      </c>
      <c r="Q676" s="16">
        <v>0.39039999999999997</v>
      </c>
      <c r="R676" s="16">
        <v>1</v>
      </c>
      <c r="S676" s="16">
        <f t="shared" si="22"/>
        <v>0.79676666666666662</v>
      </c>
      <c r="T676" s="18">
        <v>0.21301398897837998</v>
      </c>
      <c r="U676" s="1">
        <v>21.739130429999999</v>
      </c>
      <c r="V676" s="1">
        <f t="shared" si="21"/>
        <v>3.124087247925448</v>
      </c>
      <c r="W676" s="25"/>
      <c r="X676">
        <v>5.8099999999999999E-2</v>
      </c>
      <c r="Y676" s="1">
        <v>0.45400000000000001</v>
      </c>
      <c r="Z676" s="1">
        <v>0.37440000000000001</v>
      </c>
      <c r="AA676" s="1">
        <v>72742</v>
      </c>
      <c r="AB676" s="1">
        <v>782</v>
      </c>
      <c r="AC676" s="29">
        <v>17557</v>
      </c>
    </row>
    <row r="677" spans="1:29" ht="25.5">
      <c r="A677" s="12">
        <v>47</v>
      </c>
      <c r="B677" s="12" t="s">
        <v>691</v>
      </c>
      <c r="C677" s="12">
        <v>47570</v>
      </c>
      <c r="D677" s="12" t="s">
        <v>708</v>
      </c>
      <c r="E677" s="17">
        <v>0.96008524779656124</v>
      </c>
      <c r="F677" s="17">
        <v>3.9914752203438812E-2</v>
      </c>
      <c r="G677" s="13">
        <v>0.80918975797965631</v>
      </c>
      <c r="H677" s="13">
        <v>24.031645569620252</v>
      </c>
      <c r="I677" s="14">
        <v>10.228646029257067</v>
      </c>
      <c r="J677" s="16">
        <v>0.72909999999999997</v>
      </c>
      <c r="K677" s="16">
        <v>0.72609999999999997</v>
      </c>
      <c r="L677" s="13">
        <v>0.2802</v>
      </c>
      <c r="M677" s="13">
        <v>2.5999999999999999E-2</v>
      </c>
      <c r="N677" s="13">
        <v>0.14449999999999999</v>
      </c>
      <c r="O677" s="13">
        <v>0.14380000000000001</v>
      </c>
      <c r="P677" s="16">
        <v>0.97329999999999994</v>
      </c>
      <c r="Q677" s="16">
        <v>0</v>
      </c>
      <c r="R677" s="16">
        <v>0.97329999999999994</v>
      </c>
      <c r="S677" s="16">
        <f t="shared" si="22"/>
        <v>0.64886666666666659</v>
      </c>
      <c r="T677" s="18">
        <v>2.4009603841536598E-2</v>
      </c>
      <c r="U677" s="1">
        <v>9.6774193549999996</v>
      </c>
      <c r="V677" s="1">
        <f t="shared" si="21"/>
        <v>2.3681311709070223</v>
      </c>
      <c r="W677" s="26"/>
      <c r="X677">
        <v>1.66E-2</v>
      </c>
      <c r="Y677" s="1">
        <v>0.1129</v>
      </c>
      <c r="Z677" s="1">
        <v>0.1069</v>
      </c>
      <c r="AA677" s="1">
        <v>34162</v>
      </c>
      <c r="AB677" s="1">
        <v>310</v>
      </c>
      <c r="AC677" s="29">
        <v>8737</v>
      </c>
    </row>
    <row r="678" spans="1:29" ht="25.5">
      <c r="A678" s="12">
        <v>47</v>
      </c>
      <c r="B678" s="12" t="s">
        <v>691</v>
      </c>
      <c r="C678" s="12">
        <v>47605</v>
      </c>
      <c r="D678" s="12" t="s">
        <v>709</v>
      </c>
      <c r="E678" s="17">
        <v>0.96132244064334949</v>
      </c>
      <c r="F678" s="17">
        <v>3.8677559356650501E-2</v>
      </c>
      <c r="G678" s="13">
        <v>0.60545637220805315</v>
      </c>
      <c r="H678" s="13">
        <v>24.773026315789473</v>
      </c>
      <c r="I678" s="14">
        <v>8.9663561547901214</v>
      </c>
      <c r="J678" s="16">
        <v>0.5978</v>
      </c>
      <c r="K678" s="16">
        <v>0.59740000000000004</v>
      </c>
      <c r="L678" s="13">
        <v>0.25640000000000002</v>
      </c>
      <c r="M678" s="13">
        <v>3.5900000000000001E-2</v>
      </c>
      <c r="N678" s="13">
        <v>0.1547</v>
      </c>
      <c r="O678" s="13">
        <v>0.1108</v>
      </c>
      <c r="P678" s="16">
        <v>1</v>
      </c>
      <c r="Q678" s="16">
        <v>0</v>
      </c>
      <c r="R678" s="16">
        <v>1</v>
      </c>
      <c r="S678" s="16">
        <f t="shared" si="22"/>
        <v>0.66666666666666663</v>
      </c>
      <c r="T678" s="18">
        <v>6.2472308373947696E-2</v>
      </c>
      <c r="U678" s="1">
        <v>0</v>
      </c>
      <c r="V678" s="1">
        <f t="shared" si="21"/>
        <v>0</v>
      </c>
      <c r="W678" s="25"/>
      <c r="X678">
        <v>9.7000000000000003E-3</v>
      </c>
      <c r="Y678" s="1">
        <v>0.107</v>
      </c>
      <c r="Z678" s="1">
        <v>0.1016</v>
      </c>
      <c r="AA678" s="1">
        <v>13533</v>
      </c>
      <c r="AB678" s="1">
        <v>73</v>
      </c>
      <c r="AC678" s="29">
        <v>2921</v>
      </c>
    </row>
    <row r="679" spans="1:29" ht="25.5">
      <c r="A679" s="12">
        <v>47</v>
      </c>
      <c r="B679" s="12" t="s">
        <v>691</v>
      </c>
      <c r="C679" s="12">
        <v>47660</v>
      </c>
      <c r="D679" s="12" t="s">
        <v>710</v>
      </c>
      <c r="E679" s="17">
        <v>0.95302859417501495</v>
      </c>
      <c r="F679" s="17">
        <v>4.6971405824985074E-2</v>
      </c>
      <c r="G679" s="13">
        <v>0.85341410938738538</v>
      </c>
      <c r="H679" s="13">
        <v>20.260930888575459</v>
      </c>
      <c r="I679" s="14">
        <v>9.6207266844034152</v>
      </c>
      <c r="J679" s="16">
        <v>0.93700000000000006</v>
      </c>
      <c r="K679" s="16">
        <v>0.92689999999999995</v>
      </c>
      <c r="L679" s="13">
        <v>0.28699999999999998</v>
      </c>
      <c r="M679" s="13">
        <v>2.92E-2</v>
      </c>
      <c r="N679" s="13">
        <v>0.1492</v>
      </c>
      <c r="O679" s="13">
        <v>8.6699999999999999E-2</v>
      </c>
      <c r="P679" s="16">
        <v>0.40749999999999997</v>
      </c>
      <c r="Q679" s="16">
        <v>0.1681</v>
      </c>
      <c r="R679" s="16">
        <v>0.40619999999999995</v>
      </c>
      <c r="S679" s="16">
        <f t="shared" si="22"/>
        <v>0.32726666666666665</v>
      </c>
      <c r="T679" s="18">
        <v>0.32326648949021497</v>
      </c>
      <c r="U679" s="1">
        <v>6.1349693250000001</v>
      </c>
      <c r="V679" s="1">
        <f t="shared" si="21"/>
        <v>1.965007951690406</v>
      </c>
      <c r="W679" s="26"/>
      <c r="X679">
        <v>4.3499999999999997E-2</v>
      </c>
      <c r="Y679" s="1">
        <v>4.6800000000000001E-2</v>
      </c>
      <c r="Z679" s="1">
        <v>4.5699999999999998E-2</v>
      </c>
      <c r="AA679" s="1">
        <v>16704</v>
      </c>
      <c r="AB679" s="1">
        <v>163</v>
      </c>
      <c r="AC679" s="29">
        <v>4682</v>
      </c>
    </row>
    <row r="680" spans="1:29" ht="25.5">
      <c r="A680" s="12">
        <v>47</v>
      </c>
      <c r="B680" s="12" t="s">
        <v>691</v>
      </c>
      <c r="C680" s="12">
        <v>47675</v>
      </c>
      <c r="D680" s="12" t="s">
        <v>356</v>
      </c>
      <c r="E680" s="17">
        <v>0.92679206914082357</v>
      </c>
      <c r="F680" s="17">
        <v>7.3207930859176415E-2</v>
      </c>
      <c r="G680" s="13">
        <v>0.81026528258362174</v>
      </c>
      <c r="H680" s="13">
        <v>12.642163661581137</v>
      </c>
      <c r="I680" s="14">
        <v>9.1938044033360828</v>
      </c>
      <c r="J680" s="16">
        <v>0.7641</v>
      </c>
      <c r="K680" s="16">
        <v>0.7641</v>
      </c>
      <c r="L680" s="13">
        <v>0.3821</v>
      </c>
      <c r="M680" s="13">
        <v>2.1700000000000001E-2</v>
      </c>
      <c r="N680" s="13">
        <v>7.4300000000000005E-2</v>
      </c>
      <c r="O680" s="13">
        <v>2.7099999999999999E-2</v>
      </c>
      <c r="P680" s="16">
        <v>0.64379999999999993</v>
      </c>
      <c r="Q680" s="16">
        <v>0.64049999999999996</v>
      </c>
      <c r="R680" s="16">
        <v>0.62880000000000003</v>
      </c>
      <c r="S680" s="16">
        <f t="shared" si="22"/>
        <v>0.63770000000000004</v>
      </c>
      <c r="T680" s="18">
        <v>0.60138248847926201</v>
      </c>
      <c r="U680" s="1">
        <v>0</v>
      </c>
      <c r="V680" s="1">
        <f t="shared" si="21"/>
        <v>0</v>
      </c>
      <c r="W680" s="25"/>
      <c r="X680">
        <v>7.85E-2</v>
      </c>
      <c r="Y680" s="1">
        <v>0.3765</v>
      </c>
      <c r="Z680" s="1">
        <v>0.31950000000000001</v>
      </c>
      <c r="AA680" s="1">
        <v>12611</v>
      </c>
      <c r="AB680" s="1">
        <v>73</v>
      </c>
      <c r="AC680" s="29">
        <v>2610</v>
      </c>
    </row>
    <row r="681" spans="1:29" ht="25.5">
      <c r="A681" s="12">
        <v>47</v>
      </c>
      <c r="B681" s="12" t="s">
        <v>691</v>
      </c>
      <c r="C681" s="12">
        <v>47692</v>
      </c>
      <c r="D681" s="12" t="s">
        <v>711</v>
      </c>
      <c r="E681" s="17">
        <v>0.93888222184124803</v>
      </c>
      <c r="F681" s="17">
        <v>6.1117778158751926E-2</v>
      </c>
      <c r="G681" s="13">
        <v>1</v>
      </c>
      <c r="H681" s="13">
        <v>15.351086194814295</v>
      </c>
      <c r="I681" s="14">
        <v>10.057623946547059</v>
      </c>
      <c r="J681" s="16">
        <v>0.99099999999999999</v>
      </c>
      <c r="K681" s="16">
        <v>0.98529999999999995</v>
      </c>
      <c r="L681" s="13">
        <v>0.52569999999999995</v>
      </c>
      <c r="M681" s="13">
        <v>1.6199999999999999E-2</v>
      </c>
      <c r="N681" s="13">
        <v>6.3100000000000003E-2</v>
      </c>
      <c r="O681" s="13">
        <v>0.01</v>
      </c>
      <c r="P681" s="16">
        <v>0.68810000000000004</v>
      </c>
      <c r="Q681" s="16">
        <v>0.26280000000000003</v>
      </c>
      <c r="R681" s="16">
        <v>0.2412</v>
      </c>
      <c r="S681" s="16">
        <f t="shared" si="22"/>
        <v>0.3973666666666667</v>
      </c>
      <c r="T681" s="18">
        <v>0.24888790035587099</v>
      </c>
      <c r="U681" s="1">
        <v>3.9840637449999998</v>
      </c>
      <c r="V681" s="1">
        <f t="shared" si="21"/>
        <v>1.6062455713311306</v>
      </c>
      <c r="W681" s="26"/>
      <c r="X681">
        <v>3.9E-2</v>
      </c>
      <c r="Y681" s="1">
        <v>0.21390000000000001</v>
      </c>
      <c r="Z681" s="1">
        <v>0.1938</v>
      </c>
      <c r="AA681" s="1">
        <v>21808</v>
      </c>
      <c r="AB681" s="1">
        <v>251</v>
      </c>
      <c r="AC681" s="29">
        <v>5562</v>
      </c>
    </row>
    <row r="682" spans="1:29" ht="25.5">
      <c r="A682" s="12">
        <v>47</v>
      </c>
      <c r="B682" s="12" t="s">
        <v>691</v>
      </c>
      <c r="C682" s="12">
        <v>47703</v>
      </c>
      <c r="D682" s="12" t="s">
        <v>712</v>
      </c>
      <c r="E682" s="17">
        <v>0.94763608965906954</v>
      </c>
      <c r="F682" s="17">
        <v>5.2363910340930499E-2</v>
      </c>
      <c r="G682" s="13">
        <v>0.78856294095803936</v>
      </c>
      <c r="H682" s="13">
        <v>18.064631956912027</v>
      </c>
      <c r="I682" s="14">
        <v>9.2704001284038462</v>
      </c>
      <c r="J682" s="16">
        <v>0.83420000000000005</v>
      </c>
      <c r="K682" s="16">
        <v>0.83420000000000005</v>
      </c>
      <c r="L682" s="13">
        <v>0.36109999999999998</v>
      </c>
      <c r="M682" s="13">
        <v>2.98E-2</v>
      </c>
      <c r="N682" s="13">
        <v>0.1265</v>
      </c>
      <c r="O682" s="13">
        <v>4.36E-2</v>
      </c>
      <c r="P682" s="16">
        <v>0.63800000000000001</v>
      </c>
      <c r="Q682" s="16">
        <v>0.29210000000000003</v>
      </c>
      <c r="R682" s="16">
        <v>0.29210000000000003</v>
      </c>
      <c r="S682" s="16">
        <f t="shared" si="22"/>
        <v>0.40739999999999998</v>
      </c>
      <c r="T682" s="18">
        <v>0.58672510958046298</v>
      </c>
      <c r="U682" s="1">
        <v>6.9930069929999998</v>
      </c>
      <c r="V682" s="1">
        <f t="shared" si="21"/>
        <v>2.0785670335340285</v>
      </c>
      <c r="W682" s="25"/>
      <c r="X682">
        <v>3.3300000000000003E-2</v>
      </c>
      <c r="Y682" s="1">
        <v>0.34399999999999997</v>
      </c>
      <c r="Z682" s="1">
        <v>0.29570000000000002</v>
      </c>
      <c r="AA682" s="1">
        <v>13973</v>
      </c>
      <c r="AB682" s="1">
        <v>143</v>
      </c>
      <c r="AC682" s="29">
        <v>3881</v>
      </c>
    </row>
    <row r="683" spans="1:29" ht="25.5">
      <c r="A683" s="12">
        <v>47</v>
      </c>
      <c r="B683" s="12" t="s">
        <v>691</v>
      </c>
      <c r="C683" s="12">
        <v>47707</v>
      </c>
      <c r="D683" s="12" t="s">
        <v>713</v>
      </c>
      <c r="E683" s="17">
        <v>0.90713269660638085</v>
      </c>
      <c r="F683" s="17">
        <v>9.2867303393619177E-2</v>
      </c>
      <c r="G683" s="13">
        <v>0.88003862799098675</v>
      </c>
      <c r="H683" s="13">
        <v>9.7637795275590555</v>
      </c>
      <c r="I683" s="14">
        <v>10.110745594620115</v>
      </c>
      <c r="J683" s="16">
        <v>0.86899999999999999</v>
      </c>
      <c r="K683" s="16">
        <v>0.86619999999999997</v>
      </c>
      <c r="L683" s="13">
        <v>0.39410000000000001</v>
      </c>
      <c r="M683" s="13">
        <v>2.0199999999999999E-2</v>
      </c>
      <c r="N683" s="13">
        <v>0.1109</v>
      </c>
      <c r="O683" s="13">
        <v>2.52E-2</v>
      </c>
      <c r="P683" s="16">
        <v>0.54600000000000004</v>
      </c>
      <c r="Q683" s="16">
        <v>0.38969999999999999</v>
      </c>
      <c r="R683" s="16">
        <v>0.43209999999999998</v>
      </c>
      <c r="S683" s="16">
        <f t="shared" si="22"/>
        <v>0.4559333333333333</v>
      </c>
      <c r="T683" s="18">
        <v>0.11211573236889601</v>
      </c>
      <c r="U683" s="1">
        <v>9.4339622639999998</v>
      </c>
      <c r="V683" s="1">
        <f t="shared" si="21"/>
        <v>2.3450660879557463</v>
      </c>
      <c r="W683" s="26"/>
      <c r="X683">
        <v>2.5899999999999999E-2</v>
      </c>
      <c r="Y683" s="1">
        <v>0.1099</v>
      </c>
      <c r="Z683" s="1">
        <v>0.1043</v>
      </c>
      <c r="AA683" s="1">
        <v>28187</v>
      </c>
      <c r="AB683" s="1">
        <v>212</v>
      </c>
      <c r="AC683" s="29">
        <v>7063</v>
      </c>
    </row>
    <row r="684" spans="1:29" ht="25.5">
      <c r="A684" s="12">
        <v>47</v>
      </c>
      <c r="B684" s="12" t="s">
        <v>691</v>
      </c>
      <c r="C684" s="12">
        <v>47720</v>
      </c>
      <c r="D684" s="12" t="s">
        <v>714</v>
      </c>
      <c r="E684" s="17">
        <v>0.93963584177953174</v>
      </c>
      <c r="F684" s="17">
        <v>6.03641582204682E-2</v>
      </c>
      <c r="G684" s="13">
        <v>0.9497401822983218</v>
      </c>
      <c r="H684" s="13">
        <v>15.543026706231455</v>
      </c>
      <c r="I684" s="14">
        <v>9.3191947768882653</v>
      </c>
      <c r="J684" s="16">
        <v>0.94299999999999995</v>
      </c>
      <c r="K684" s="16">
        <v>0.94299999999999995</v>
      </c>
      <c r="L684" s="13">
        <v>0.37980000000000003</v>
      </c>
      <c r="M684" s="13">
        <v>1.7000000000000001E-2</v>
      </c>
      <c r="N684" s="13">
        <v>0.1042</v>
      </c>
      <c r="O684" s="13">
        <v>7.85E-2</v>
      </c>
      <c r="P684" s="16">
        <v>0.70579999999999998</v>
      </c>
      <c r="Q684" s="16">
        <v>0.58050000000000002</v>
      </c>
      <c r="R684" s="16">
        <v>0.70579999999999998</v>
      </c>
      <c r="S684" s="16">
        <f t="shared" si="22"/>
        <v>0.66403333333333336</v>
      </c>
      <c r="T684" s="18">
        <v>0</v>
      </c>
      <c r="U684" s="1">
        <v>17.543859650000002</v>
      </c>
      <c r="V684" s="1">
        <f t="shared" si="21"/>
        <v>2.9201387180829914</v>
      </c>
      <c r="W684" s="25"/>
      <c r="X684">
        <v>5.5999999999999999E-3</v>
      </c>
      <c r="Y684" s="1">
        <v>6.7299999999999999E-2</v>
      </c>
      <c r="Z684" s="1">
        <v>6.5199999999999994E-2</v>
      </c>
      <c r="AA684" s="1">
        <v>11045</v>
      </c>
      <c r="AB684" s="1">
        <v>114</v>
      </c>
      <c r="AC684" s="29">
        <v>2689</v>
      </c>
    </row>
    <row r="685" spans="1:29" ht="25.5">
      <c r="A685" s="12">
        <v>47</v>
      </c>
      <c r="B685" s="12" t="s">
        <v>691</v>
      </c>
      <c r="C685" s="12">
        <v>47745</v>
      </c>
      <c r="D685" s="12" t="s">
        <v>716</v>
      </c>
      <c r="E685" s="17">
        <v>0.95681650700073695</v>
      </c>
      <c r="F685" s="17">
        <v>4.3183492999263079E-2</v>
      </c>
      <c r="G685" s="13">
        <v>0.65969859017987365</v>
      </c>
      <c r="H685" s="13">
        <v>22.131818181818183</v>
      </c>
      <c r="I685" s="14">
        <v>9.9211309877087235</v>
      </c>
      <c r="J685" s="16">
        <v>0.7833</v>
      </c>
      <c r="K685" s="16">
        <v>0.78129999999999999</v>
      </c>
      <c r="L685" s="13">
        <v>0.2858</v>
      </c>
      <c r="M685" s="13">
        <v>3.8300000000000001E-2</v>
      </c>
      <c r="N685" s="13">
        <v>8.72E-2</v>
      </c>
      <c r="O685" s="13">
        <v>1.4999999999999999E-2</v>
      </c>
      <c r="P685" s="16">
        <v>0</v>
      </c>
      <c r="Q685" s="16">
        <v>0</v>
      </c>
      <c r="R685" s="16">
        <v>0</v>
      </c>
      <c r="S685" s="16">
        <f t="shared" si="22"/>
        <v>0</v>
      </c>
      <c r="T685" s="18">
        <v>8.9403973509933704E-2</v>
      </c>
      <c r="U685" s="1">
        <v>20.491803279999999</v>
      </c>
      <c r="V685" s="1">
        <f t="shared" si="21"/>
        <v>3.0676716196514109</v>
      </c>
      <c r="W685" s="25"/>
      <c r="X685">
        <v>0.49430000000000002</v>
      </c>
      <c r="Y685" s="1">
        <v>0.9415</v>
      </c>
      <c r="Z685" s="1">
        <v>0.66339999999999999</v>
      </c>
      <c r="AA685" s="1">
        <v>28889</v>
      </c>
      <c r="AB685" s="1">
        <v>244</v>
      </c>
      <c r="AC685" s="29">
        <v>7088</v>
      </c>
    </row>
    <row r="686" spans="1:29" ht="25.5">
      <c r="A686" s="12">
        <v>47</v>
      </c>
      <c r="B686" s="12" t="s">
        <v>691</v>
      </c>
      <c r="C686" s="12">
        <v>47798</v>
      </c>
      <c r="D686" s="12" t="s">
        <v>717</v>
      </c>
      <c r="E686" s="17">
        <v>0.94375857338820301</v>
      </c>
      <c r="F686" s="17">
        <v>5.6241426611796985E-2</v>
      </c>
      <c r="G686" s="13">
        <v>0.87937273823884199</v>
      </c>
      <c r="H686" s="13">
        <v>16.757780784844385</v>
      </c>
      <c r="I686" s="14">
        <v>9.4821216948962874</v>
      </c>
      <c r="J686" s="16">
        <v>0.94299999999999995</v>
      </c>
      <c r="K686" s="16">
        <v>0.94299999999999995</v>
      </c>
      <c r="L686" s="13">
        <v>0.50700000000000001</v>
      </c>
      <c r="M686" s="13">
        <v>1.2999999999999999E-2</v>
      </c>
      <c r="N686" s="13">
        <v>8.5999999999999993E-2</v>
      </c>
      <c r="O686" s="13">
        <v>4.7E-2</v>
      </c>
      <c r="P686" s="16">
        <v>0.64500000000000002</v>
      </c>
      <c r="Q686" s="16">
        <v>0.5111</v>
      </c>
      <c r="R686" s="16">
        <v>0.47560000000000002</v>
      </c>
      <c r="S686" s="16">
        <f t="shared" si="22"/>
        <v>0.54389999999999994</v>
      </c>
      <c r="T686" s="18">
        <v>0.152592592592592</v>
      </c>
      <c r="U686" s="1">
        <v>12.98701299</v>
      </c>
      <c r="V686" s="1">
        <f t="shared" si="21"/>
        <v>2.6381292555162608</v>
      </c>
      <c r="W686" s="26"/>
      <c r="X686">
        <v>3.1399999999999997E-2</v>
      </c>
      <c r="Y686" s="1">
        <v>0.18160000000000001</v>
      </c>
      <c r="Z686" s="1">
        <v>0.16689999999999999</v>
      </c>
      <c r="AA686" s="1">
        <v>14340</v>
      </c>
      <c r="AB686" s="1">
        <v>154</v>
      </c>
      <c r="AC686" s="29">
        <v>3556</v>
      </c>
    </row>
    <row r="687" spans="1:29" ht="25.5">
      <c r="A687" s="12">
        <v>47</v>
      </c>
      <c r="B687" s="12" t="s">
        <v>691</v>
      </c>
      <c r="C687" s="12">
        <v>47960</v>
      </c>
      <c r="D687" s="12" t="s">
        <v>718</v>
      </c>
      <c r="E687" s="17">
        <v>0.96521175453759722</v>
      </c>
      <c r="F687" s="17">
        <v>3.4788245462402764E-2</v>
      </c>
      <c r="G687" s="13">
        <v>0.83886170019938378</v>
      </c>
      <c r="H687" s="13">
        <v>27.659442724458206</v>
      </c>
      <c r="I687" s="14">
        <v>9.1331353010672114</v>
      </c>
      <c r="J687" s="16">
        <v>0.80969999999999998</v>
      </c>
      <c r="K687" s="16">
        <v>0.80969999999999998</v>
      </c>
      <c r="L687" s="13">
        <v>0.36980000000000002</v>
      </c>
      <c r="M687" s="13">
        <v>3.4000000000000002E-2</v>
      </c>
      <c r="N687" s="13">
        <v>9.6500000000000002E-2</v>
      </c>
      <c r="O687" s="13">
        <v>3.1899999999999998E-2</v>
      </c>
      <c r="P687" s="16">
        <v>0.63400000000000001</v>
      </c>
      <c r="Q687" s="16">
        <v>0.29100000000000004</v>
      </c>
      <c r="R687" s="16">
        <v>0.58440000000000003</v>
      </c>
      <c r="S687" s="16">
        <f t="shared" si="22"/>
        <v>0.50313333333333332</v>
      </c>
      <c r="T687" s="18">
        <v>0.36556291390728396</v>
      </c>
      <c r="U687" s="1">
        <v>14.49275362</v>
      </c>
      <c r="V687" s="1">
        <f t="shared" si="21"/>
        <v>2.7403724062219861</v>
      </c>
      <c r="W687" s="25"/>
      <c r="X687">
        <v>2.24E-2</v>
      </c>
      <c r="Y687" s="1">
        <v>9.3600000000000003E-2</v>
      </c>
      <c r="Z687" s="1">
        <v>8.9399999999999993E-2</v>
      </c>
      <c r="AA687" s="1">
        <v>11061</v>
      </c>
      <c r="AB687" s="1">
        <v>69</v>
      </c>
      <c r="AC687" s="29">
        <v>2723</v>
      </c>
    </row>
    <row r="688" spans="1:29" ht="25.5">
      <c r="A688" s="12">
        <v>47</v>
      </c>
      <c r="B688" s="12" t="s">
        <v>691</v>
      </c>
      <c r="C688" s="12">
        <v>47980</v>
      </c>
      <c r="D688" s="12" t="s">
        <v>719</v>
      </c>
      <c r="E688" s="17">
        <v>0.64698243260599664</v>
      </c>
      <c r="F688" s="17">
        <v>0.35301756739400342</v>
      </c>
      <c r="G688" s="13">
        <v>0.90076227938246367</v>
      </c>
      <c r="H688" s="13">
        <v>1.8326461314576765</v>
      </c>
      <c r="I688" s="14">
        <v>11.15730710550662</v>
      </c>
      <c r="J688" s="16">
        <v>1.0049999999999999</v>
      </c>
      <c r="K688" s="16">
        <v>1.0018</v>
      </c>
      <c r="L688" s="13">
        <v>0.38240000000000002</v>
      </c>
      <c r="M688" s="13">
        <v>2.4400000000000002E-2</v>
      </c>
      <c r="N688" s="13">
        <v>0.11119999999999999</v>
      </c>
      <c r="O688" s="13">
        <v>5.0099999999999999E-2</v>
      </c>
      <c r="P688" s="16">
        <v>0.78520000000000001</v>
      </c>
      <c r="Q688" s="16">
        <v>0</v>
      </c>
      <c r="R688" s="16">
        <v>0.99900000000000011</v>
      </c>
      <c r="S688" s="16">
        <f t="shared" si="22"/>
        <v>0.59473333333333345</v>
      </c>
      <c r="T688" s="18">
        <v>0.76229175132060112</v>
      </c>
      <c r="U688" s="1">
        <v>6.4995357470000004</v>
      </c>
      <c r="V688" s="1">
        <f t="shared" si="21"/>
        <v>2.0148411182263559</v>
      </c>
      <c r="W688" s="26"/>
      <c r="X688">
        <v>5.74E-2</v>
      </c>
      <c r="Y688" s="1">
        <v>0.57650000000000001</v>
      </c>
      <c r="Z688" s="1">
        <v>0.45519999999999999</v>
      </c>
      <c r="AA688" s="1">
        <v>79037</v>
      </c>
      <c r="AB688" s="1">
        <v>1077</v>
      </c>
      <c r="AC688" s="29">
        <v>21208</v>
      </c>
    </row>
    <row r="689" spans="1:29">
      <c r="A689" s="12">
        <v>50</v>
      </c>
      <c r="B689" s="12" t="s">
        <v>720</v>
      </c>
      <c r="C689" s="12">
        <v>50001</v>
      </c>
      <c r="D689" s="12" t="s">
        <v>744</v>
      </c>
      <c r="E689" s="17">
        <v>0.50691539198089086</v>
      </c>
      <c r="F689" s="17">
        <v>0.49307259617199595</v>
      </c>
      <c r="G689" s="13">
        <v>0.9947086153982706</v>
      </c>
      <c r="H689" s="13">
        <v>1.0280709813706963</v>
      </c>
      <c r="I689" s="14">
        <v>13.27552900079419</v>
      </c>
      <c r="J689" s="16">
        <v>0.87709999999999999</v>
      </c>
      <c r="K689" s="16">
        <v>0.87629999999999997</v>
      </c>
      <c r="L689" s="13">
        <v>0.52429999999999999</v>
      </c>
      <c r="M689" s="13">
        <v>4.1099999999999998E-2</v>
      </c>
      <c r="N689" s="13">
        <v>8.43E-2</v>
      </c>
      <c r="O689" s="13">
        <v>6.88E-2</v>
      </c>
      <c r="P689" s="16">
        <v>0.51519999999999999</v>
      </c>
      <c r="Q689" s="16">
        <v>0.53069999999999995</v>
      </c>
      <c r="R689" s="16"/>
      <c r="S689" s="16">
        <f t="shared" si="22"/>
        <v>0.34863333333333335</v>
      </c>
      <c r="T689" s="18">
        <v>0.89126213592233006</v>
      </c>
      <c r="U689" s="1">
        <v>8.2516761219999992</v>
      </c>
      <c r="V689" s="1">
        <f t="shared" si="21"/>
        <v>2.2248047374875441</v>
      </c>
      <c r="W689" s="26"/>
      <c r="X689">
        <v>0.18429999999999999</v>
      </c>
      <c r="Y689" s="1">
        <v>2.2944</v>
      </c>
      <c r="Z689" s="1">
        <v>1.1921999999999999</v>
      </c>
      <c r="AA689" s="1">
        <v>579176</v>
      </c>
      <c r="AB689" s="1">
        <v>5817</v>
      </c>
      <c r="AC689" s="29">
        <v>106689</v>
      </c>
    </row>
    <row r="690" spans="1:29">
      <c r="A690" s="12">
        <v>50</v>
      </c>
      <c r="B690" s="12" t="s">
        <v>720</v>
      </c>
      <c r="C690" s="12">
        <v>50006</v>
      </c>
      <c r="D690" s="12" t="s">
        <v>721</v>
      </c>
      <c r="E690" s="17">
        <v>0.52400489831803476</v>
      </c>
      <c r="F690" s="17">
        <v>0.47597416869891046</v>
      </c>
      <c r="G690" s="13">
        <v>0.98752454780361754</v>
      </c>
      <c r="H690" s="13">
        <v>1.1008861622358554</v>
      </c>
      <c r="I690" s="14">
        <v>11.467342153348262</v>
      </c>
      <c r="J690" s="16">
        <v>1.0023</v>
      </c>
      <c r="K690" s="16">
        <v>1.0017</v>
      </c>
      <c r="L690" s="13">
        <v>0.54759999999999998</v>
      </c>
      <c r="M690" s="13">
        <v>4.53E-2</v>
      </c>
      <c r="N690" s="13">
        <v>0.1055</v>
      </c>
      <c r="O690" s="13">
        <v>0.1086</v>
      </c>
      <c r="P690" s="16">
        <v>0.97189999999999999</v>
      </c>
      <c r="Q690" s="16">
        <v>0.87250000000000005</v>
      </c>
      <c r="R690" s="16">
        <v>0.92280000000000006</v>
      </c>
      <c r="S690" s="16">
        <f t="shared" si="22"/>
        <v>0.9224</v>
      </c>
      <c r="T690" s="18">
        <v>1</v>
      </c>
      <c r="U690" s="1">
        <v>7.8828828829999997</v>
      </c>
      <c r="V690" s="1">
        <f t="shared" si="21"/>
        <v>2.1841261533034859</v>
      </c>
      <c r="W690" s="25"/>
      <c r="X690">
        <v>0.4173</v>
      </c>
      <c r="Y690" s="1">
        <v>1.8697999999999999</v>
      </c>
      <c r="Z690" s="1">
        <v>1.0542</v>
      </c>
      <c r="AA690" s="1">
        <v>102025</v>
      </c>
      <c r="AB690" s="1">
        <v>888</v>
      </c>
      <c r="AC690" s="29">
        <v>19220</v>
      </c>
    </row>
    <row r="691" spans="1:29">
      <c r="A691" s="12">
        <v>50</v>
      </c>
      <c r="B691" s="12" t="s">
        <v>720</v>
      </c>
      <c r="C691" s="12">
        <v>50110</v>
      </c>
      <c r="D691" s="12" t="s">
        <v>722</v>
      </c>
      <c r="E691" s="17">
        <v>0.65743670886075944</v>
      </c>
      <c r="F691" s="17">
        <v>0.34240506329113923</v>
      </c>
      <c r="G691" s="13">
        <v>0.88010026458710489</v>
      </c>
      <c r="H691" s="13">
        <v>1.9191685912240184</v>
      </c>
      <c r="I691" s="14">
        <v>8.751632702472298</v>
      </c>
      <c r="J691" s="16">
        <v>0.88529999999999998</v>
      </c>
      <c r="K691" s="16">
        <v>0.88529999999999998</v>
      </c>
      <c r="L691" s="13">
        <v>0.50349999999999995</v>
      </c>
      <c r="M691" s="13">
        <v>6.9500000000000006E-2</v>
      </c>
      <c r="N691" s="13">
        <v>8.9700000000000002E-2</v>
      </c>
      <c r="O691" s="13">
        <v>2.4E-2</v>
      </c>
      <c r="P691" s="16">
        <v>0.7006</v>
      </c>
      <c r="Q691" s="16">
        <v>0.62979999999999992</v>
      </c>
      <c r="R691" s="16">
        <v>0.62939999999999996</v>
      </c>
      <c r="S691" s="16">
        <f t="shared" si="22"/>
        <v>0.65326666666666666</v>
      </c>
      <c r="T691" s="18">
        <v>0.84759358288770004</v>
      </c>
      <c r="U691" s="1">
        <v>0</v>
      </c>
      <c r="V691" s="1">
        <f t="shared" si="21"/>
        <v>0</v>
      </c>
      <c r="W691" s="26"/>
      <c r="X691">
        <v>0.59650000000000003</v>
      </c>
      <c r="Y691" s="1">
        <v>0.3594</v>
      </c>
      <c r="Z691" s="1">
        <v>0.307</v>
      </c>
      <c r="AA691" s="1">
        <v>7750</v>
      </c>
      <c r="AB691" s="1">
        <v>73</v>
      </c>
      <c r="AC691" s="29">
        <v>1903</v>
      </c>
    </row>
    <row r="692" spans="1:29">
      <c r="A692" s="12">
        <v>50</v>
      </c>
      <c r="B692" s="12" t="s">
        <v>720</v>
      </c>
      <c r="C692" s="12">
        <v>50124</v>
      </c>
      <c r="D692" s="12" t="s">
        <v>723</v>
      </c>
      <c r="E692" s="17">
        <v>0.63836615609044489</v>
      </c>
      <c r="F692" s="17">
        <v>0.36163384390955505</v>
      </c>
      <c r="G692" s="13">
        <v>1</v>
      </c>
      <c r="H692" s="13">
        <v>1.764516129032258</v>
      </c>
      <c r="I692" s="14">
        <v>8.8328794602776153</v>
      </c>
      <c r="J692" s="16">
        <v>1.0900000000000001</v>
      </c>
      <c r="K692" s="16">
        <v>1.0900000000000001</v>
      </c>
      <c r="L692" s="13">
        <v>0.54210000000000003</v>
      </c>
      <c r="M692" s="13">
        <v>4.4699999999999997E-2</v>
      </c>
      <c r="N692" s="13">
        <v>8.4400000000000003E-2</v>
      </c>
      <c r="O692" s="13">
        <v>6.1499999999999999E-2</v>
      </c>
      <c r="P692" s="16">
        <v>0.52670000000000006</v>
      </c>
      <c r="Q692" s="16">
        <v>0.5272</v>
      </c>
      <c r="R692" s="16">
        <v>0.5272</v>
      </c>
      <c r="S692" s="16">
        <f t="shared" si="22"/>
        <v>0.52703333333333335</v>
      </c>
      <c r="T692" s="18">
        <v>0.71140418929402605</v>
      </c>
      <c r="U692" s="1">
        <v>18.86792453</v>
      </c>
      <c r="V692" s="1">
        <f t="shared" si="21"/>
        <v>2.9891065986673238</v>
      </c>
      <c r="W692" s="25"/>
      <c r="X692" s="28">
        <v>28671</v>
      </c>
      <c r="Y692" s="1">
        <v>0.2203</v>
      </c>
      <c r="Z692" s="1">
        <v>0.1991</v>
      </c>
      <c r="AA692" s="1">
        <v>6865</v>
      </c>
      <c r="AB692" s="1">
        <v>53</v>
      </c>
      <c r="AC692" s="29">
        <v>1471</v>
      </c>
    </row>
    <row r="693" spans="1:29">
      <c r="A693" s="12">
        <v>50</v>
      </c>
      <c r="B693" s="12" t="s">
        <v>720</v>
      </c>
      <c r="C693" s="12">
        <v>50150</v>
      </c>
      <c r="D693" s="12" t="s">
        <v>724</v>
      </c>
      <c r="E693" s="17">
        <v>0.61680941438618475</v>
      </c>
      <c r="F693" s="17">
        <v>0.38319058561381519</v>
      </c>
      <c r="G693" s="13">
        <v>0.90343482637141415</v>
      </c>
      <c r="H693" s="13">
        <v>1.609375</v>
      </c>
      <c r="I693" s="14">
        <v>9.5723411086702637</v>
      </c>
      <c r="J693" s="16">
        <v>0.85799999999999998</v>
      </c>
      <c r="K693" s="16">
        <v>0.85799999999999998</v>
      </c>
      <c r="L693" s="13">
        <v>0.45069999999999999</v>
      </c>
      <c r="M693" s="13">
        <v>4.5699999999999998E-2</v>
      </c>
      <c r="N693" s="13">
        <v>0.1003</v>
      </c>
      <c r="O693" s="13">
        <v>0.1132</v>
      </c>
      <c r="P693" s="16">
        <v>0</v>
      </c>
      <c r="Q693" s="16">
        <v>0</v>
      </c>
      <c r="R693" s="16">
        <v>0</v>
      </c>
      <c r="S693" s="16">
        <f t="shared" si="22"/>
        <v>0</v>
      </c>
      <c r="T693" s="18">
        <v>0.92950819672131102</v>
      </c>
      <c r="U693" s="1">
        <v>13.24503311</v>
      </c>
      <c r="V693" s="1">
        <f t="shared" si="21"/>
        <v>2.6564082922714949</v>
      </c>
      <c r="W693" s="26"/>
      <c r="X693">
        <v>0.74</v>
      </c>
      <c r="Y693" s="1">
        <v>2.0895000000000001</v>
      </c>
      <c r="Z693" s="1">
        <v>1.1279999999999999</v>
      </c>
      <c r="AA693" s="1">
        <v>17240</v>
      </c>
      <c r="AB693" s="1">
        <v>151</v>
      </c>
      <c r="AC693" s="29">
        <v>3711</v>
      </c>
    </row>
    <row r="694" spans="1:29">
      <c r="A694" s="12">
        <v>50</v>
      </c>
      <c r="B694" s="12" t="s">
        <v>720</v>
      </c>
      <c r="C694" s="12">
        <v>50223</v>
      </c>
      <c r="D694" s="12" t="s">
        <v>725</v>
      </c>
      <c r="E694" s="17">
        <v>0.83862209400984222</v>
      </c>
      <c r="F694" s="17">
        <v>0.16137790599015781</v>
      </c>
      <c r="G694" s="13">
        <v>0.75309904153354634</v>
      </c>
      <c r="H694" s="13">
        <v>5.1911764705882355</v>
      </c>
      <c r="I694" s="14">
        <v>8.68169016329764</v>
      </c>
      <c r="J694" s="16">
        <v>0.7954</v>
      </c>
      <c r="K694" s="16">
        <v>0.7954</v>
      </c>
      <c r="L694" s="13">
        <v>0.3926</v>
      </c>
      <c r="M694" s="13">
        <v>4.82E-2</v>
      </c>
      <c r="N694" s="13">
        <v>9.4700000000000006E-2</v>
      </c>
      <c r="O694" s="13">
        <v>0.1237</v>
      </c>
      <c r="P694" s="16">
        <v>0.40039999999999998</v>
      </c>
      <c r="Q694" s="16">
        <v>0.40039999999999998</v>
      </c>
      <c r="R694" s="16">
        <v>0.40039999999999998</v>
      </c>
      <c r="S694" s="16">
        <f t="shared" si="22"/>
        <v>0.40040000000000003</v>
      </c>
      <c r="T694" s="18">
        <v>0.74426229508196695</v>
      </c>
      <c r="U694" s="1">
        <v>15.38461538</v>
      </c>
      <c r="V694" s="1">
        <f t="shared" si="21"/>
        <v>2.7963428079661981</v>
      </c>
      <c r="W694" s="25"/>
      <c r="X694">
        <v>4.2200000000000001E-2</v>
      </c>
      <c r="Y694" s="1">
        <v>3.9800000000000002E-2</v>
      </c>
      <c r="Z694" s="1">
        <v>3.9E-2</v>
      </c>
      <c r="AA694" s="1">
        <v>7436</v>
      </c>
      <c r="AB694" s="1">
        <v>65</v>
      </c>
      <c r="AC694" s="29">
        <v>1489</v>
      </c>
    </row>
    <row r="695" spans="1:29">
      <c r="A695" s="12">
        <v>50</v>
      </c>
      <c r="B695" s="12" t="s">
        <v>720</v>
      </c>
      <c r="C695" s="12">
        <v>50226</v>
      </c>
      <c r="D695" s="12" t="s">
        <v>726</v>
      </c>
      <c r="E695" s="17">
        <v>0.59168417649911109</v>
      </c>
      <c r="F695" s="17">
        <v>0.40831582350088896</v>
      </c>
      <c r="G695" s="13">
        <v>0.98202452283639541</v>
      </c>
      <c r="H695" s="13">
        <v>1.4489412230358203</v>
      </c>
      <c r="I695" s="14">
        <v>10.116540363140167</v>
      </c>
      <c r="J695" s="16">
        <v>1.0128999999999999</v>
      </c>
      <c r="K695" s="16">
        <v>1.0121</v>
      </c>
      <c r="L695" s="13">
        <v>0.55449999999999999</v>
      </c>
      <c r="M695" s="13">
        <v>4.4400000000000002E-2</v>
      </c>
      <c r="N695" s="13">
        <v>9.3100000000000002E-2</v>
      </c>
      <c r="O695" s="13">
        <v>7.8799999999999995E-2</v>
      </c>
      <c r="P695" s="16">
        <v>0</v>
      </c>
      <c r="Q695" s="16">
        <v>0</v>
      </c>
      <c r="R695" s="16">
        <v>0</v>
      </c>
      <c r="S695" s="16">
        <f t="shared" si="22"/>
        <v>0</v>
      </c>
      <c r="T695" s="18">
        <v>0.9421538461538459</v>
      </c>
      <c r="U695" s="1">
        <v>12.09677419</v>
      </c>
      <c r="V695" s="1">
        <f t="shared" si="21"/>
        <v>2.5723659548456506</v>
      </c>
      <c r="W695" s="26"/>
      <c r="X695">
        <v>0.1792</v>
      </c>
      <c r="Y695" s="1">
        <v>0.2155</v>
      </c>
      <c r="Z695" s="1">
        <v>0.19520000000000001</v>
      </c>
      <c r="AA695" s="1">
        <v>24556</v>
      </c>
      <c r="AB695" s="1">
        <v>248</v>
      </c>
      <c r="AC695" s="29">
        <v>5069</v>
      </c>
    </row>
    <row r="696" spans="1:29">
      <c r="A696" s="12">
        <v>50</v>
      </c>
      <c r="B696" s="12" t="s">
        <v>720</v>
      </c>
      <c r="C696" s="12">
        <v>50245</v>
      </c>
      <c r="D696" s="12" t="s">
        <v>727</v>
      </c>
      <c r="E696" s="17">
        <v>0.90473017988007998</v>
      </c>
      <c r="F696" s="17">
        <v>9.5269820119920051E-2</v>
      </c>
      <c r="G696" s="13">
        <v>0.78792650918635165</v>
      </c>
      <c r="H696" s="13">
        <v>9.4305555555555554</v>
      </c>
      <c r="I696" s="14">
        <v>7.3145528323240798</v>
      </c>
      <c r="J696" s="16">
        <v>0.74029999999999996</v>
      </c>
      <c r="K696" s="16">
        <v>0.74029999999999996</v>
      </c>
      <c r="L696" s="13">
        <v>0.36270000000000002</v>
      </c>
      <c r="M696" s="13">
        <v>5.7000000000000002E-2</v>
      </c>
      <c r="N696" s="13">
        <v>0.1114</v>
      </c>
      <c r="O696" s="13">
        <v>3.3700000000000001E-2</v>
      </c>
      <c r="P696" s="16">
        <v>0.39610000000000001</v>
      </c>
      <c r="Q696" s="16">
        <v>0.39610000000000001</v>
      </c>
      <c r="R696" s="16">
        <v>0.39610000000000001</v>
      </c>
      <c r="S696" s="16">
        <f t="shared" si="22"/>
        <v>0.39609999999999995</v>
      </c>
      <c r="T696" s="18">
        <v>0.55937499999999896</v>
      </c>
      <c r="U696" s="1">
        <v>0</v>
      </c>
      <c r="V696" s="1">
        <f t="shared" si="21"/>
        <v>0</v>
      </c>
      <c r="W696" s="25"/>
      <c r="X696">
        <v>6.0999999999999999E-2</v>
      </c>
      <c r="Y696" s="1">
        <v>2.3400000000000001E-2</v>
      </c>
      <c r="Z696" s="1">
        <v>2.3099999999999999E-2</v>
      </c>
      <c r="AA696" s="1">
        <v>1896</v>
      </c>
      <c r="AB696" s="1">
        <v>7</v>
      </c>
      <c r="AC696" s="29">
        <v>476</v>
      </c>
    </row>
    <row r="697" spans="1:29">
      <c r="A697" s="12">
        <v>50</v>
      </c>
      <c r="B697" s="12" t="s">
        <v>720</v>
      </c>
      <c r="C697" s="12">
        <v>50251</v>
      </c>
      <c r="D697" s="12" t="s">
        <v>728</v>
      </c>
      <c r="E697" s="17">
        <v>0.92659874800540076</v>
      </c>
      <c r="F697" s="17">
        <v>7.3401251994599237E-2</v>
      </c>
      <c r="G697" s="13">
        <v>0.94021927293710328</v>
      </c>
      <c r="H697" s="13">
        <v>12.602671118530886</v>
      </c>
      <c r="I697" s="14">
        <v>9.0055277773466962</v>
      </c>
      <c r="J697" s="16">
        <v>0.80900000000000005</v>
      </c>
      <c r="K697" s="16">
        <v>0.80900000000000005</v>
      </c>
      <c r="L697" s="13">
        <v>0.46079999999999999</v>
      </c>
      <c r="M697" s="13">
        <v>3.6400000000000002E-2</v>
      </c>
      <c r="N697" s="13">
        <v>7.2800000000000004E-2</v>
      </c>
      <c r="O697" s="13">
        <v>3.1199999999999999E-2</v>
      </c>
      <c r="P697" s="16">
        <v>0.58909999999999996</v>
      </c>
      <c r="Q697" s="16">
        <v>0.41659999999999997</v>
      </c>
      <c r="R697" s="16">
        <v>0.46039999999999998</v>
      </c>
      <c r="S697" s="16">
        <f t="shared" si="22"/>
        <v>0.48869999999999997</v>
      </c>
      <c r="T697" s="18">
        <v>0.71177266576454601</v>
      </c>
      <c r="U697" s="1">
        <v>0</v>
      </c>
      <c r="V697" s="1">
        <f t="shared" si="21"/>
        <v>0</v>
      </c>
      <c r="W697" s="26"/>
      <c r="X697">
        <v>5.4300000000000001E-2</v>
      </c>
      <c r="Y697" s="1">
        <v>4.6100000000000002E-2</v>
      </c>
      <c r="Z697" s="1">
        <v>4.5100000000000001E-2</v>
      </c>
      <c r="AA697" s="1">
        <v>8473</v>
      </c>
      <c r="AB697" s="1">
        <v>59</v>
      </c>
      <c r="AC697" s="29">
        <v>1875</v>
      </c>
    </row>
    <row r="698" spans="1:29">
      <c r="A698" s="12">
        <v>50</v>
      </c>
      <c r="B698" s="12" t="s">
        <v>720</v>
      </c>
      <c r="C698" s="12">
        <v>50270</v>
      </c>
      <c r="D698" s="12" t="s">
        <v>729</v>
      </c>
      <c r="E698" s="17">
        <v>0.87684837784153613</v>
      </c>
      <c r="F698" s="17">
        <v>0.12315162215846391</v>
      </c>
      <c r="G698" s="13">
        <v>1</v>
      </c>
      <c r="H698" s="13">
        <v>7.1073345259391774</v>
      </c>
      <c r="I698" s="14">
        <v>8.4189186221478973</v>
      </c>
      <c r="J698" s="16">
        <v>0.76470000000000005</v>
      </c>
      <c r="K698" s="16">
        <v>0.76470000000000005</v>
      </c>
      <c r="L698" s="13">
        <v>0.48820000000000002</v>
      </c>
      <c r="M698" s="13">
        <v>1.8200000000000001E-2</v>
      </c>
      <c r="N698" s="13">
        <v>8.9800000000000005E-2</v>
      </c>
      <c r="O698" s="13">
        <v>4.9099999999999998E-2</v>
      </c>
      <c r="P698" s="16">
        <v>0.44689999999999996</v>
      </c>
      <c r="Q698" s="16">
        <v>0.28670000000000001</v>
      </c>
      <c r="R698" s="16">
        <v>0.44689999999999996</v>
      </c>
      <c r="S698" s="16">
        <f t="shared" si="22"/>
        <v>0.39349999999999996</v>
      </c>
      <c r="T698" s="18">
        <v>0.78681506849314997</v>
      </c>
      <c r="U698" s="1">
        <v>0</v>
      </c>
      <c r="V698" s="1">
        <f t="shared" si="21"/>
        <v>0</v>
      </c>
      <c r="W698" s="25"/>
      <c r="X698">
        <v>6.1199999999999997E-2</v>
      </c>
      <c r="Y698" s="1">
        <v>0.1152</v>
      </c>
      <c r="Z698" s="1">
        <v>0.109</v>
      </c>
      <c r="AA698" s="1">
        <v>4122</v>
      </c>
      <c r="AB698" s="1">
        <v>28</v>
      </c>
      <c r="AC698" s="29">
        <v>921</v>
      </c>
    </row>
    <row r="699" spans="1:29">
      <c r="A699" s="12">
        <v>50</v>
      </c>
      <c r="B699" s="12" t="s">
        <v>720</v>
      </c>
      <c r="C699" s="12">
        <v>50287</v>
      </c>
      <c r="D699" s="12" t="s">
        <v>730</v>
      </c>
      <c r="E699" s="17">
        <v>0.88961969811957164</v>
      </c>
      <c r="F699" s="17">
        <v>0.11038030188042837</v>
      </c>
      <c r="G699" s="13">
        <v>0.88851427287030793</v>
      </c>
      <c r="H699" s="13">
        <v>8.0534351145038165</v>
      </c>
      <c r="I699" s="14">
        <v>9.3809266725517162</v>
      </c>
      <c r="J699" s="16">
        <v>0.80479999999999996</v>
      </c>
      <c r="K699" s="16">
        <v>0.80479999999999996</v>
      </c>
      <c r="L699" s="13">
        <v>0.37659999999999999</v>
      </c>
      <c r="M699" s="13">
        <v>3.7699999999999997E-2</v>
      </c>
      <c r="N699" s="13">
        <v>0.1038</v>
      </c>
      <c r="O699" s="13">
        <v>7.5899999999999995E-2</v>
      </c>
      <c r="P699" s="16">
        <v>0.57179999999999997</v>
      </c>
      <c r="Q699" s="16">
        <v>0.6855</v>
      </c>
      <c r="R699" s="16">
        <v>0.5252</v>
      </c>
      <c r="S699" s="16">
        <f t="shared" si="22"/>
        <v>0.59416666666666662</v>
      </c>
      <c r="T699" s="18">
        <v>0.77993779160186605</v>
      </c>
      <c r="U699" s="1">
        <v>0</v>
      </c>
      <c r="V699" s="1">
        <f t="shared" si="21"/>
        <v>0</v>
      </c>
      <c r="W699" s="26"/>
      <c r="X699">
        <v>7.2999999999999995E-2</v>
      </c>
      <c r="Y699" s="1">
        <v>9.2399999999999996E-2</v>
      </c>
      <c r="Z699" s="1">
        <v>8.8400000000000006E-2</v>
      </c>
      <c r="AA699" s="1">
        <v>12853</v>
      </c>
      <c r="AB699" s="1">
        <v>99</v>
      </c>
      <c r="AC699" s="29">
        <v>2745</v>
      </c>
    </row>
    <row r="700" spans="1:29">
      <c r="A700" s="12">
        <v>50</v>
      </c>
      <c r="B700" s="12" t="s">
        <v>720</v>
      </c>
      <c r="C700" s="12">
        <v>50313</v>
      </c>
      <c r="D700" s="12" t="s">
        <v>64</v>
      </c>
      <c r="E700" s="17">
        <v>0.76551428194181592</v>
      </c>
      <c r="F700" s="17">
        <v>0.23445270894766956</v>
      </c>
      <c r="G700" s="13">
        <v>1</v>
      </c>
      <c r="H700" s="13">
        <v>3.2649584682528507</v>
      </c>
      <c r="I700" s="14">
        <v>11.4173502500472</v>
      </c>
      <c r="J700" s="16">
        <v>0.95379999999999998</v>
      </c>
      <c r="K700" s="16">
        <v>0.9536</v>
      </c>
      <c r="L700" s="13">
        <v>0.5141</v>
      </c>
      <c r="M700" s="13">
        <v>2.9399999999999999E-2</v>
      </c>
      <c r="N700" s="13">
        <v>8.3199999999999996E-2</v>
      </c>
      <c r="O700" s="13">
        <v>6.9599999999999995E-2</v>
      </c>
      <c r="P700" s="16">
        <v>0.68340000000000001</v>
      </c>
      <c r="Q700" s="16">
        <v>0.67900000000000005</v>
      </c>
      <c r="R700" s="16">
        <v>0.74719999999999998</v>
      </c>
      <c r="S700" s="16">
        <f t="shared" si="22"/>
        <v>0.70319999999999994</v>
      </c>
      <c r="T700" s="18">
        <v>0.7137902896776821</v>
      </c>
      <c r="U700" s="1">
        <v>9.2024539880000003</v>
      </c>
      <c r="V700" s="1">
        <f t="shared" si="21"/>
        <v>2.3226282784126235</v>
      </c>
      <c r="W700" s="25"/>
      <c r="X700">
        <v>0.1246</v>
      </c>
      <c r="Y700" s="1">
        <v>1.2524</v>
      </c>
      <c r="Z700" s="1">
        <v>0.81200000000000006</v>
      </c>
      <c r="AA700" s="1">
        <v>73899</v>
      </c>
      <c r="AB700" s="1">
        <v>978</v>
      </c>
      <c r="AC700" s="29">
        <v>15636</v>
      </c>
    </row>
    <row r="701" spans="1:29">
      <c r="A701" s="12">
        <v>50</v>
      </c>
      <c r="B701" s="12" t="s">
        <v>720</v>
      </c>
      <c r="C701" s="12">
        <v>50318</v>
      </c>
      <c r="D701" s="12" t="s">
        <v>703</v>
      </c>
      <c r="E701" s="17">
        <v>0.64708467623791388</v>
      </c>
      <c r="F701" s="17">
        <v>0.3528420744213302</v>
      </c>
      <c r="G701" s="13">
        <v>0.87552106714551403</v>
      </c>
      <c r="H701" s="13">
        <v>1.833540888335409</v>
      </c>
      <c r="I701" s="14">
        <v>9.521714556684751</v>
      </c>
      <c r="J701" s="16">
        <v>1.1437999999999999</v>
      </c>
      <c r="K701" s="16">
        <v>1.1414</v>
      </c>
      <c r="L701" s="13">
        <v>0.64859999999999995</v>
      </c>
      <c r="M701" s="13">
        <v>5.8999999999999997E-2</v>
      </c>
      <c r="N701" s="13">
        <v>0.1</v>
      </c>
      <c r="O701" s="13">
        <v>9.2799999999999994E-2</v>
      </c>
      <c r="P701" s="16">
        <v>0.82220000000000004</v>
      </c>
      <c r="Q701" s="16">
        <v>0.56830000000000003</v>
      </c>
      <c r="R701" s="16">
        <v>0.68330000000000002</v>
      </c>
      <c r="S701" s="16">
        <f t="shared" si="22"/>
        <v>0.69126666666666681</v>
      </c>
      <c r="T701" s="18">
        <v>1</v>
      </c>
      <c r="U701" s="1">
        <v>0</v>
      </c>
      <c r="V701" s="1">
        <f t="shared" si="21"/>
        <v>0</v>
      </c>
      <c r="W701" s="26"/>
      <c r="X701">
        <v>0.62890000000000001</v>
      </c>
      <c r="Y701" s="1">
        <v>0.50149999999999995</v>
      </c>
      <c r="Z701" s="1">
        <v>0.40649999999999997</v>
      </c>
      <c r="AA701" s="1">
        <v>16202</v>
      </c>
      <c r="AB701" s="1">
        <v>144</v>
      </c>
      <c r="AC701" s="29">
        <v>3162</v>
      </c>
    </row>
    <row r="702" spans="1:29">
      <c r="A702" s="12">
        <v>50</v>
      </c>
      <c r="B702" s="12" t="s">
        <v>720</v>
      </c>
      <c r="C702" s="12">
        <v>50325</v>
      </c>
      <c r="D702" s="12" t="s">
        <v>734</v>
      </c>
      <c r="E702" s="17">
        <v>0.82763264206840825</v>
      </c>
      <c r="F702" s="17">
        <v>0.17236735793159169</v>
      </c>
      <c r="G702" s="13">
        <v>0.98058893437211148</v>
      </c>
      <c r="H702" s="13">
        <v>4.7978142076502737</v>
      </c>
      <c r="I702" s="14">
        <v>8.9128772876692963</v>
      </c>
      <c r="J702" s="16">
        <v>0.89019999999999999</v>
      </c>
      <c r="K702" s="16">
        <v>0.89019999999999999</v>
      </c>
      <c r="L702" s="13">
        <v>0.1908</v>
      </c>
      <c r="M702" s="13">
        <v>0.1229</v>
      </c>
      <c r="N702" s="13">
        <v>0.16950000000000001</v>
      </c>
      <c r="O702" s="13">
        <v>0.13039999999999999</v>
      </c>
      <c r="P702" s="16">
        <v>0.47310000000000002</v>
      </c>
      <c r="Q702" s="16">
        <v>0.36049999999999999</v>
      </c>
      <c r="R702" s="16">
        <v>0.21489999999999998</v>
      </c>
      <c r="S702" s="16">
        <f t="shared" si="22"/>
        <v>0.34949999999999998</v>
      </c>
      <c r="T702" s="18">
        <v>0.19215838509316702</v>
      </c>
      <c r="U702" s="1">
        <v>41.666666669999998</v>
      </c>
      <c r="V702" s="1">
        <f t="shared" si="21"/>
        <v>3.7534179753296324</v>
      </c>
      <c r="W702" s="26"/>
      <c r="X702">
        <v>3.6600000000000001E-2</v>
      </c>
      <c r="Y702" s="1">
        <v>1E-3</v>
      </c>
      <c r="Z702" s="1">
        <v>1E-3</v>
      </c>
      <c r="AA702" s="1">
        <v>7280</v>
      </c>
      <c r="AB702" s="1">
        <v>120</v>
      </c>
      <c r="AC702" s="29">
        <v>1902</v>
      </c>
    </row>
    <row r="703" spans="1:29">
      <c r="A703" s="12">
        <v>50</v>
      </c>
      <c r="B703" s="12" t="s">
        <v>720</v>
      </c>
      <c r="C703" s="12">
        <v>50330</v>
      </c>
      <c r="D703" s="12" t="s">
        <v>735</v>
      </c>
      <c r="E703" s="17">
        <v>0.91667361748269249</v>
      </c>
      <c r="F703" s="17">
        <v>8.3326382517307535E-2</v>
      </c>
      <c r="G703" s="13">
        <v>0.96919967663702511</v>
      </c>
      <c r="H703" s="13">
        <v>10.99</v>
      </c>
      <c r="I703" s="14">
        <v>9.3918282480215591</v>
      </c>
      <c r="J703" s="16">
        <v>0.80840000000000001</v>
      </c>
      <c r="K703" s="16">
        <v>0.80840000000000001</v>
      </c>
      <c r="L703" s="13">
        <v>0.32550000000000001</v>
      </c>
      <c r="M703" s="13">
        <v>4.0099999999999997E-2</v>
      </c>
      <c r="N703" s="13">
        <v>6.5100000000000005E-2</v>
      </c>
      <c r="O703" s="13">
        <v>5.8999999999999999E-3</v>
      </c>
      <c r="P703" s="16">
        <v>0.87760000000000005</v>
      </c>
      <c r="Q703" s="16">
        <v>0.71760000000000002</v>
      </c>
      <c r="R703" s="16">
        <v>0.52340000000000009</v>
      </c>
      <c r="S703" s="16">
        <f t="shared" si="22"/>
        <v>0.70620000000000005</v>
      </c>
      <c r="T703" s="18">
        <v>0.49666444296197398</v>
      </c>
      <c r="U703" s="1">
        <v>0</v>
      </c>
      <c r="V703" s="1">
        <f t="shared" si="21"/>
        <v>0</v>
      </c>
      <c r="W703" s="25"/>
      <c r="X703">
        <v>9.5699999999999993E-2</v>
      </c>
      <c r="Y703" s="1">
        <v>9.4000000000000004E-3</v>
      </c>
      <c r="Z703" s="1">
        <v>9.4000000000000004E-3</v>
      </c>
      <c r="AA703" s="1">
        <v>11781</v>
      </c>
      <c r="AB703" s="1">
        <v>116</v>
      </c>
      <c r="AC703" s="29">
        <v>2460</v>
      </c>
    </row>
    <row r="704" spans="1:29">
      <c r="A704" s="12">
        <v>50</v>
      </c>
      <c r="B704" s="12" t="s">
        <v>720</v>
      </c>
      <c r="C704" s="12">
        <v>50350</v>
      </c>
      <c r="D704" s="12" t="s">
        <v>731</v>
      </c>
      <c r="E704" s="17">
        <v>0.92568739162744618</v>
      </c>
      <c r="F704" s="17">
        <v>7.4312608372553879E-2</v>
      </c>
      <c r="G704" s="13">
        <v>0.41381077664263505</v>
      </c>
      <c r="H704" s="13">
        <v>12.44284128745838</v>
      </c>
      <c r="I704" s="14">
        <v>9.4019519756772301</v>
      </c>
      <c r="J704" s="16">
        <v>0.54300000000000004</v>
      </c>
      <c r="K704" s="16">
        <v>0.54300000000000004</v>
      </c>
      <c r="L704" s="13">
        <v>0.17050000000000001</v>
      </c>
      <c r="M704" s="13">
        <v>8.0299999999999996E-2</v>
      </c>
      <c r="N704" s="13">
        <v>0.11210000000000001</v>
      </c>
      <c r="O704" s="13">
        <v>6.0400000000000002E-2</v>
      </c>
      <c r="P704" s="16">
        <v>0.53359999999999996</v>
      </c>
      <c r="Q704" s="16">
        <v>0.4677</v>
      </c>
      <c r="R704" s="16">
        <v>0.51800000000000002</v>
      </c>
      <c r="S704" s="16">
        <f t="shared" si="22"/>
        <v>0.5064333333333334</v>
      </c>
      <c r="T704" s="18">
        <v>7.7379593700068403E-2</v>
      </c>
      <c r="U704" s="1">
        <v>14.388489209999999</v>
      </c>
      <c r="V704" s="1">
        <f t="shared" si="21"/>
        <v>2.7336197760405403</v>
      </c>
      <c r="W704" s="25"/>
      <c r="X704">
        <v>2.81E-2</v>
      </c>
      <c r="Y704" s="1">
        <v>6.7000000000000002E-3</v>
      </c>
      <c r="Z704" s="1">
        <v>6.7000000000000002E-3</v>
      </c>
      <c r="AA704" s="1">
        <v>29571</v>
      </c>
      <c r="AB704" s="1">
        <v>139</v>
      </c>
      <c r="AC704" s="29">
        <v>7382</v>
      </c>
    </row>
    <row r="705" spans="1:29">
      <c r="A705" s="12">
        <v>50</v>
      </c>
      <c r="B705" s="12" t="s">
        <v>720</v>
      </c>
      <c r="C705" s="12">
        <v>50370</v>
      </c>
      <c r="D705" s="12" t="s">
        <v>732</v>
      </c>
      <c r="E705" s="17">
        <v>0.92759314241930846</v>
      </c>
      <c r="F705" s="17">
        <v>7.2311081314050382E-2</v>
      </c>
      <c r="G705" s="13">
        <v>1</v>
      </c>
      <c r="H705" s="13">
        <v>12.81084656084656</v>
      </c>
      <c r="I705" s="14">
        <v>9.2535914139704971</v>
      </c>
      <c r="J705" s="16">
        <v>0.95930000000000004</v>
      </c>
      <c r="K705" s="16">
        <v>0.95930000000000004</v>
      </c>
      <c r="L705" s="13">
        <v>0.39739999999999998</v>
      </c>
      <c r="M705" s="13">
        <v>4.1799999999999997E-2</v>
      </c>
      <c r="N705" s="13">
        <v>5.6099999999999997E-2</v>
      </c>
      <c r="O705" s="13">
        <v>6.9199999999999998E-2</v>
      </c>
      <c r="P705" s="16">
        <v>0.25940000000000002</v>
      </c>
      <c r="Q705" s="16">
        <v>0.24489999999999998</v>
      </c>
      <c r="R705" s="16">
        <v>0.24489999999999998</v>
      </c>
      <c r="S705" s="16">
        <f t="shared" si="22"/>
        <v>0.24973333333333333</v>
      </c>
      <c r="T705" s="18">
        <v>0.47171824973319099</v>
      </c>
      <c r="U705" s="1">
        <v>19.736842110000001</v>
      </c>
      <c r="V705" s="1">
        <f t="shared" si="21"/>
        <v>3.0319119303599198</v>
      </c>
      <c r="W705" s="26"/>
      <c r="X705">
        <v>0.11459999999999999</v>
      </c>
      <c r="Y705" s="1">
        <v>3.3E-3</v>
      </c>
      <c r="Z705" s="1">
        <v>3.2000000000000002E-3</v>
      </c>
      <c r="AA705" s="1">
        <v>9695</v>
      </c>
      <c r="AB705" s="1">
        <v>152</v>
      </c>
      <c r="AC705" s="29">
        <v>2318</v>
      </c>
    </row>
    <row r="706" spans="1:29">
      <c r="A706" s="12">
        <v>50</v>
      </c>
      <c r="B706" s="12" t="s">
        <v>720</v>
      </c>
      <c r="C706" s="12">
        <v>50400</v>
      </c>
      <c r="D706" s="12" t="s">
        <v>733</v>
      </c>
      <c r="E706" s="17">
        <v>0.92208982584784605</v>
      </c>
      <c r="F706" s="17">
        <v>7.7910174152153983E-2</v>
      </c>
      <c r="G706" s="13">
        <v>0.95625498007968124</v>
      </c>
      <c r="H706" s="13">
        <v>11.822649572649572</v>
      </c>
      <c r="I706" s="14">
        <v>9.392828581549459</v>
      </c>
      <c r="J706" s="16">
        <v>0.84489999999999998</v>
      </c>
      <c r="K706" s="16">
        <v>0.84489999999999998</v>
      </c>
      <c r="L706" s="13">
        <v>0.49299999999999999</v>
      </c>
      <c r="M706" s="13">
        <v>3.8300000000000001E-2</v>
      </c>
      <c r="N706" s="13">
        <v>6.7900000000000002E-2</v>
      </c>
      <c r="O706" s="13">
        <v>5.2699999999999997E-2</v>
      </c>
      <c r="P706" s="16">
        <v>0.41399999999999998</v>
      </c>
      <c r="Q706" s="16">
        <v>0.44280000000000003</v>
      </c>
      <c r="R706" s="16">
        <v>0.45710000000000001</v>
      </c>
      <c r="S706" s="16">
        <f t="shared" si="22"/>
        <v>0.43796666666666667</v>
      </c>
      <c r="T706" s="18">
        <v>0.99963221772710498</v>
      </c>
      <c r="U706" s="1">
        <v>0</v>
      </c>
      <c r="V706" s="1">
        <f t="shared" ref="V706:V769" si="23">LN(U706+1)</f>
        <v>0</v>
      </c>
      <c r="W706" s="25"/>
      <c r="X706">
        <v>1.67E-2</v>
      </c>
      <c r="Y706" s="1">
        <v>5.3999999999999999E-2</v>
      </c>
      <c r="Z706" s="1">
        <v>5.2600000000000001E-2</v>
      </c>
      <c r="AA706" s="1">
        <v>12161</v>
      </c>
      <c r="AB706" s="1">
        <v>124</v>
      </c>
      <c r="AC706" s="29">
        <v>2621</v>
      </c>
    </row>
    <row r="707" spans="1:29">
      <c r="A707" s="12">
        <v>50</v>
      </c>
      <c r="B707" s="12" t="s">
        <v>720</v>
      </c>
      <c r="C707" s="12">
        <v>50450</v>
      </c>
      <c r="D707" s="12" t="s">
        <v>736</v>
      </c>
      <c r="E707" s="17">
        <v>0.91264056643065394</v>
      </c>
      <c r="F707" s="17">
        <v>8.7359433569346112E-2</v>
      </c>
      <c r="G707" s="13">
        <v>1</v>
      </c>
      <c r="H707" s="13">
        <v>10.43452380952381</v>
      </c>
      <c r="I707" s="14">
        <v>9.1700390752026575</v>
      </c>
      <c r="J707" s="16">
        <v>0.95809999999999995</v>
      </c>
      <c r="K707" s="16">
        <v>0.95809999999999995</v>
      </c>
      <c r="L707" s="13">
        <v>0.34870000000000001</v>
      </c>
      <c r="M707" s="13">
        <v>8.8700000000000001E-2</v>
      </c>
      <c r="N707" s="13">
        <v>0.1043</v>
      </c>
      <c r="O707" s="13">
        <v>7.6200000000000004E-2</v>
      </c>
      <c r="P707" s="16">
        <v>0.50609999999999999</v>
      </c>
      <c r="Q707" s="16">
        <v>0.32159999999999994</v>
      </c>
      <c r="R707" s="16">
        <v>0.37490000000000001</v>
      </c>
      <c r="S707" s="16">
        <f t="shared" si="22"/>
        <v>0.40086666666666665</v>
      </c>
      <c r="T707" s="18">
        <v>0.86638733705772797</v>
      </c>
      <c r="U707" s="1">
        <v>0</v>
      </c>
      <c r="V707" s="1">
        <f t="shared" si="23"/>
        <v>0</v>
      </c>
      <c r="W707" s="26"/>
      <c r="X707">
        <v>3.2800000000000003E-2</v>
      </c>
      <c r="Y707" s="1">
        <v>2.1999999999999999E-2</v>
      </c>
      <c r="Z707" s="1">
        <v>2.18E-2</v>
      </c>
      <c r="AA707" s="1">
        <v>8692</v>
      </c>
      <c r="AB707" s="1">
        <v>99</v>
      </c>
      <c r="AC707" s="29">
        <v>2071</v>
      </c>
    </row>
    <row r="708" spans="1:29">
      <c r="A708" s="12">
        <v>50</v>
      </c>
      <c r="B708" s="12" t="s">
        <v>720</v>
      </c>
      <c r="C708" s="12">
        <v>50568</v>
      </c>
      <c r="D708" s="12" t="s">
        <v>737</v>
      </c>
      <c r="E708" s="17">
        <v>0.61356666327524312</v>
      </c>
      <c r="F708" s="17">
        <v>0.38643333672475688</v>
      </c>
      <c r="G708" s="13">
        <v>1</v>
      </c>
      <c r="H708" s="13">
        <v>1.5877087407853168</v>
      </c>
      <c r="I708" s="14">
        <v>11.138988093266359</v>
      </c>
      <c r="J708" s="16">
        <v>1.2674000000000001</v>
      </c>
      <c r="K708" s="16">
        <v>1.2673000000000001</v>
      </c>
      <c r="L708" s="13">
        <v>0.37140000000000001</v>
      </c>
      <c r="M708" s="13">
        <v>3.95E-2</v>
      </c>
      <c r="N708" s="13">
        <v>0.12470000000000001</v>
      </c>
      <c r="O708" s="13">
        <v>3.5499999999999997E-2</v>
      </c>
      <c r="P708" s="16">
        <v>0.215</v>
      </c>
      <c r="Q708" s="16">
        <v>0.21579999999999999</v>
      </c>
      <c r="R708" s="16">
        <v>0.50580000000000003</v>
      </c>
      <c r="S708" s="16">
        <f t="shared" si="22"/>
        <v>0.31219999999999998</v>
      </c>
      <c r="T708" s="18">
        <v>0.83134888272712404</v>
      </c>
      <c r="U708" s="1">
        <v>22.37136465</v>
      </c>
      <c r="V708" s="1">
        <f t="shared" si="23"/>
        <v>3.1515115400851434</v>
      </c>
      <c r="W708" s="25"/>
      <c r="X708" s="28">
        <v>13196</v>
      </c>
      <c r="Y708" s="1">
        <v>0.1018</v>
      </c>
      <c r="Z708" s="1">
        <v>9.7000000000000003E-2</v>
      </c>
      <c r="AA708" s="1">
        <v>53006</v>
      </c>
      <c r="AB708" s="1">
        <v>894</v>
      </c>
      <c r="AC708" s="29">
        <v>13592</v>
      </c>
    </row>
    <row r="709" spans="1:29">
      <c r="A709" s="12">
        <v>50</v>
      </c>
      <c r="B709" s="12" t="s">
        <v>720</v>
      </c>
      <c r="C709" s="12">
        <v>50573</v>
      </c>
      <c r="D709" s="12" t="s">
        <v>739</v>
      </c>
      <c r="E709" s="17">
        <v>0.68976120560695886</v>
      </c>
      <c r="F709" s="17">
        <v>0.31023879439304114</v>
      </c>
      <c r="G709" s="13">
        <v>1</v>
      </c>
      <c r="H709" s="13">
        <v>2.223125</v>
      </c>
      <c r="I709" s="14">
        <v>10.494020443106272</v>
      </c>
      <c r="J709" s="16">
        <v>1.0172000000000001</v>
      </c>
      <c r="K709" s="16">
        <v>1.0172000000000001</v>
      </c>
      <c r="L709" s="13">
        <v>0.48780000000000001</v>
      </c>
      <c r="M709" s="13">
        <v>3.7600000000000001E-2</v>
      </c>
      <c r="N709" s="13">
        <v>0.1021</v>
      </c>
      <c r="O709" s="13">
        <v>8.2299999999999998E-2</v>
      </c>
      <c r="P709" s="16">
        <v>0.72040000000000004</v>
      </c>
      <c r="Q709" s="16">
        <v>0.69689999999999996</v>
      </c>
      <c r="R709" s="16">
        <v>0.67459999999999998</v>
      </c>
      <c r="S709" s="16">
        <f t="shared" si="22"/>
        <v>0.69729999999999992</v>
      </c>
      <c r="T709" s="18">
        <v>0.96342814924270403</v>
      </c>
      <c r="U709" s="1">
        <v>7.575757576</v>
      </c>
      <c r="V709" s="1">
        <f t="shared" si="23"/>
        <v>2.148939336205026</v>
      </c>
      <c r="W709" s="25"/>
      <c r="X709">
        <v>0.2974</v>
      </c>
      <c r="Y709" s="1">
        <v>4.2900000000000001E-2</v>
      </c>
      <c r="Z709" s="1">
        <v>4.2000000000000003E-2</v>
      </c>
      <c r="AA709" s="1">
        <v>32222</v>
      </c>
      <c r="AB709" s="1">
        <v>396</v>
      </c>
      <c r="AC709" s="29">
        <v>7134</v>
      </c>
    </row>
    <row r="710" spans="1:29">
      <c r="A710" s="12">
        <v>50</v>
      </c>
      <c r="B710" s="12" t="s">
        <v>720</v>
      </c>
      <c r="C710" s="12">
        <v>50577</v>
      </c>
      <c r="D710" s="12" t="s">
        <v>738</v>
      </c>
      <c r="E710" s="17">
        <v>0.88703437603625512</v>
      </c>
      <c r="F710" s="17">
        <v>0.11296562396374489</v>
      </c>
      <c r="G710" s="13">
        <v>0.78937265509117882</v>
      </c>
      <c r="H710" s="13">
        <v>7.8445747800586512</v>
      </c>
      <c r="I710" s="14">
        <v>9.1102990177959562</v>
      </c>
      <c r="J710" s="16">
        <v>0.61739999999999995</v>
      </c>
      <c r="K710" s="16">
        <v>0.61739999999999995</v>
      </c>
      <c r="L710" s="13">
        <v>0.23669999999999999</v>
      </c>
      <c r="M710" s="13">
        <v>5.7700000000000001E-2</v>
      </c>
      <c r="N710" s="13">
        <v>0.1053</v>
      </c>
      <c r="O710" s="13">
        <v>8.2100000000000006E-2</v>
      </c>
      <c r="P710" s="16">
        <v>0.43090000000000006</v>
      </c>
      <c r="Q710" s="16">
        <v>0.41859999999999997</v>
      </c>
      <c r="R710" s="16">
        <v>0.27850000000000003</v>
      </c>
      <c r="S710" s="16">
        <f t="shared" si="22"/>
        <v>0.37600000000000006</v>
      </c>
      <c r="T710" s="18">
        <v>0.367871485943775</v>
      </c>
      <c r="U710" s="1">
        <v>20</v>
      </c>
      <c r="V710" s="1">
        <f t="shared" si="23"/>
        <v>3.044522437723423</v>
      </c>
      <c r="W710" s="26"/>
      <c r="X710">
        <v>5.2499999999999998E-2</v>
      </c>
      <c r="Y710" s="1">
        <v>1.0699999999999999E-2</v>
      </c>
      <c r="Z710" s="1">
        <v>1.06E-2</v>
      </c>
      <c r="AA710" s="1">
        <v>10704</v>
      </c>
      <c r="AB710" s="1">
        <v>100</v>
      </c>
      <c r="AC710" s="29">
        <v>2368</v>
      </c>
    </row>
    <row r="711" spans="1:29">
      <c r="A711" s="12">
        <v>50</v>
      </c>
      <c r="B711" s="12" t="s">
        <v>720</v>
      </c>
      <c r="C711" s="12">
        <v>50590</v>
      </c>
      <c r="D711" s="12" t="s">
        <v>374</v>
      </c>
      <c r="E711" s="17">
        <v>0.87041640770665007</v>
      </c>
      <c r="F711" s="17">
        <v>0.1295835922933499</v>
      </c>
      <c r="G711" s="13">
        <v>0.93059572006940428</v>
      </c>
      <c r="H711" s="13">
        <v>6.713001797483523</v>
      </c>
      <c r="I711" s="14">
        <v>9.4628873736596351</v>
      </c>
      <c r="J711" s="16">
        <v>0.79190000000000005</v>
      </c>
      <c r="K711" s="16">
        <v>0.79190000000000005</v>
      </c>
      <c r="L711" s="13">
        <v>0.3004</v>
      </c>
      <c r="M711" s="13">
        <v>6.5299999999999997E-2</v>
      </c>
      <c r="N711" s="13">
        <v>7.0300000000000001E-2</v>
      </c>
      <c r="O711" s="13">
        <v>4.99E-2</v>
      </c>
      <c r="P711" s="16">
        <v>0.47899999999999998</v>
      </c>
      <c r="Q711" s="16">
        <v>0.54330000000000001</v>
      </c>
      <c r="R711" s="16">
        <v>0.56009999999999993</v>
      </c>
      <c r="S711" s="16">
        <f t="shared" si="22"/>
        <v>0.52746666666666664</v>
      </c>
      <c r="T711" s="18">
        <v>0.363766867642836</v>
      </c>
      <c r="U711" s="1">
        <v>0</v>
      </c>
      <c r="V711" s="1">
        <f t="shared" si="23"/>
        <v>0</v>
      </c>
      <c r="W711" s="26"/>
      <c r="X711">
        <v>0.14480000000000001</v>
      </c>
      <c r="Y711" s="1">
        <v>0.01</v>
      </c>
      <c r="Z711" s="1">
        <v>0.01</v>
      </c>
      <c r="AA711" s="1">
        <v>13492</v>
      </c>
      <c r="AB711" s="1">
        <v>117</v>
      </c>
      <c r="AC711" s="29">
        <v>2791</v>
      </c>
    </row>
    <row r="712" spans="1:29">
      <c r="A712" s="12">
        <v>50</v>
      </c>
      <c r="B712" s="12" t="s">
        <v>720</v>
      </c>
      <c r="C712" s="12">
        <v>50606</v>
      </c>
      <c r="D712" s="12" t="s">
        <v>740</v>
      </c>
      <c r="E712" s="17">
        <v>0.68047416986596621</v>
      </c>
      <c r="F712" s="17">
        <v>0.31945847645989089</v>
      </c>
      <c r="G712" s="13">
        <v>0.73587430610626492</v>
      </c>
      <c r="H712" s="13">
        <v>2.1296374367622262</v>
      </c>
      <c r="I712" s="14">
        <v>9.6056204550259814</v>
      </c>
      <c r="J712" s="16">
        <v>1.0936999999999999</v>
      </c>
      <c r="K712" s="16">
        <v>1.0929</v>
      </c>
      <c r="L712" s="13">
        <v>0.68740000000000001</v>
      </c>
      <c r="M712" s="13">
        <v>2.3599999999999999E-2</v>
      </c>
      <c r="N712" s="13">
        <v>9.7600000000000006E-2</v>
      </c>
      <c r="O712" s="13">
        <v>6.5299999999999997E-2</v>
      </c>
      <c r="P712" s="16">
        <v>0.64269999999999994</v>
      </c>
      <c r="Q712" s="16">
        <v>0.53339999999999999</v>
      </c>
      <c r="R712" s="16">
        <v>0.67330000000000001</v>
      </c>
      <c r="S712" s="16">
        <f t="shared" ref="S712:S775" si="24">+(P712+Q712+R712)/3</f>
        <v>0.61646666666666661</v>
      </c>
      <c r="T712" s="18">
        <v>1</v>
      </c>
      <c r="U712" s="1">
        <v>5.3191489360000004</v>
      </c>
      <c r="V712" s="1">
        <f t="shared" si="23"/>
        <v>1.8435845370657051</v>
      </c>
      <c r="W712" s="25"/>
      <c r="X712">
        <v>0.13389999999999999</v>
      </c>
      <c r="Y712" s="1">
        <v>0.46860000000000002</v>
      </c>
      <c r="Z712" s="1">
        <v>0.38429999999999997</v>
      </c>
      <c r="AA712" s="1">
        <v>21173</v>
      </c>
      <c r="AB712" s="1">
        <v>188</v>
      </c>
      <c r="AC712" s="29">
        <v>4049</v>
      </c>
    </row>
    <row r="713" spans="1:29" ht="25.5">
      <c r="A713" s="12">
        <v>50</v>
      </c>
      <c r="B713" s="12" t="s">
        <v>720</v>
      </c>
      <c r="C713" s="12">
        <v>50680</v>
      </c>
      <c r="D713" s="12" t="s">
        <v>741</v>
      </c>
      <c r="E713" s="17">
        <v>0.60337377430613259</v>
      </c>
      <c r="F713" s="17">
        <v>0.39662622569386735</v>
      </c>
      <c r="G713" s="13">
        <v>0.883553597650514</v>
      </c>
      <c r="H713" s="13">
        <v>1.5209467951403435</v>
      </c>
      <c r="I713" s="14">
        <v>9.3955743502171725</v>
      </c>
      <c r="J713" s="16">
        <v>0.83330000000000004</v>
      </c>
      <c r="K713" s="16">
        <v>0.83330000000000004</v>
      </c>
      <c r="L713" s="13">
        <v>0.3861</v>
      </c>
      <c r="M713" s="13">
        <v>8.1100000000000005E-2</v>
      </c>
      <c r="N713" s="13">
        <v>9.5000000000000001E-2</v>
      </c>
      <c r="O713" s="13">
        <v>5.0200000000000002E-2</v>
      </c>
      <c r="P713" s="16">
        <v>0.64729999999999999</v>
      </c>
      <c r="Q713" s="16">
        <v>0.64980000000000004</v>
      </c>
      <c r="R713" s="16">
        <v>0.66439999999999999</v>
      </c>
      <c r="S713" s="16">
        <f t="shared" si="24"/>
        <v>0.65383333333333338</v>
      </c>
      <c r="T713" s="18">
        <v>0.73472041612483696</v>
      </c>
      <c r="U713" s="1">
        <v>23.25581395</v>
      </c>
      <c r="V713" s="1">
        <f t="shared" si="23"/>
        <v>3.1886563391633942</v>
      </c>
      <c r="W713" s="26"/>
      <c r="X713">
        <v>0.70879999999999999</v>
      </c>
      <c r="Y713" s="1">
        <v>0.1346</v>
      </c>
      <c r="Z713" s="1">
        <v>0.1263</v>
      </c>
      <c r="AA713" s="1">
        <v>14424</v>
      </c>
      <c r="AB713" s="1">
        <v>129</v>
      </c>
      <c r="AC713" s="29">
        <v>3324</v>
      </c>
    </row>
    <row r="714" spans="1:29">
      <c r="A714" s="12">
        <v>50</v>
      </c>
      <c r="B714" s="12" t="s">
        <v>720</v>
      </c>
      <c r="C714" s="12">
        <v>50683</v>
      </c>
      <c r="D714" s="12" t="s">
        <v>742</v>
      </c>
      <c r="E714" s="17">
        <v>0.91697157331832257</v>
      </c>
      <c r="F714" s="17">
        <v>8.3028426681677453E-2</v>
      </c>
      <c r="G714" s="13">
        <v>0.71109776843790651</v>
      </c>
      <c r="H714" s="13">
        <v>11.025380710659899</v>
      </c>
      <c r="I714" s="14">
        <v>8.8688354928268947</v>
      </c>
      <c r="J714" s="16">
        <v>0.63900000000000001</v>
      </c>
      <c r="K714" s="16">
        <v>0.63900000000000001</v>
      </c>
      <c r="L714" s="13">
        <v>0.26719999999999999</v>
      </c>
      <c r="M714" s="13">
        <v>5.4600000000000003E-2</v>
      </c>
      <c r="N714" s="13">
        <v>0.1002</v>
      </c>
      <c r="O714" s="13">
        <v>4.41E-2</v>
      </c>
      <c r="P714" s="16">
        <v>0.39119999999999999</v>
      </c>
      <c r="Q714" s="16">
        <v>0.35639999999999999</v>
      </c>
      <c r="R714" s="16">
        <v>0.36909999999999998</v>
      </c>
      <c r="S714" s="16">
        <f t="shared" si="24"/>
        <v>0.37223333333333336</v>
      </c>
      <c r="T714" s="18">
        <v>0.77327093083723297</v>
      </c>
      <c r="U714" s="1">
        <v>17.241379309999999</v>
      </c>
      <c r="V714" s="1">
        <f t="shared" si="23"/>
        <v>2.9036926018529217</v>
      </c>
      <c r="W714" s="25"/>
      <c r="X714">
        <v>9.2799999999999994E-2</v>
      </c>
      <c r="Y714" s="1">
        <v>2.06E-2</v>
      </c>
      <c r="Z714" s="1">
        <v>2.0299999999999999E-2</v>
      </c>
      <c r="AA714" s="1">
        <v>9444</v>
      </c>
      <c r="AB714" s="1">
        <v>58</v>
      </c>
      <c r="AC714" s="29">
        <v>1880</v>
      </c>
    </row>
    <row r="715" spans="1:29">
      <c r="A715" s="12">
        <v>50</v>
      </c>
      <c r="B715" s="12" t="s">
        <v>720</v>
      </c>
      <c r="C715" s="12">
        <v>50686</v>
      </c>
      <c r="D715" s="12" t="s">
        <v>743</v>
      </c>
      <c r="E715" s="17">
        <v>0.89375364856976069</v>
      </c>
      <c r="F715" s="17">
        <v>0.10624635143023935</v>
      </c>
      <c r="G715" s="13">
        <v>1</v>
      </c>
      <c r="H715" s="13">
        <v>8.3661202185792352</v>
      </c>
      <c r="I715" s="14">
        <v>7.4465850991577254</v>
      </c>
      <c r="J715" s="16">
        <v>0.96870000000000001</v>
      </c>
      <c r="K715" s="16">
        <v>0.96870000000000001</v>
      </c>
      <c r="L715" s="13">
        <v>0.45610000000000001</v>
      </c>
      <c r="M715" s="13">
        <v>3.0599999999999999E-2</v>
      </c>
      <c r="N715" s="13">
        <v>3.0599999999999999E-2</v>
      </c>
      <c r="O715" s="13">
        <v>0</v>
      </c>
      <c r="P715" s="16">
        <v>0</v>
      </c>
      <c r="Q715" s="16">
        <v>0</v>
      </c>
      <c r="R715" s="16">
        <v>0</v>
      </c>
      <c r="S715" s="16">
        <f t="shared" si="24"/>
        <v>0</v>
      </c>
      <c r="T715" s="18">
        <v>0.70736086175942503</v>
      </c>
      <c r="U715" s="1">
        <v>90.909090910000003</v>
      </c>
      <c r="V715" s="1">
        <f t="shared" si="23"/>
        <v>4.5207999462319917</v>
      </c>
      <c r="W715" s="26"/>
      <c r="X715">
        <v>3.9800000000000002E-2</v>
      </c>
      <c r="Y715" s="1">
        <v>2.4899999999999999E-2</v>
      </c>
      <c r="Z715" s="1">
        <v>2.4500000000000001E-2</v>
      </c>
      <c r="AA715" s="1">
        <v>1395</v>
      </c>
      <c r="AB715" s="1">
        <v>11</v>
      </c>
      <c r="AC715" s="29">
        <v>298</v>
      </c>
    </row>
    <row r="716" spans="1:29">
      <c r="A716" s="12">
        <v>50</v>
      </c>
      <c r="B716" s="12" t="s">
        <v>720</v>
      </c>
      <c r="C716" s="12">
        <v>50689</v>
      </c>
      <c r="D716" s="12" t="s">
        <v>457</v>
      </c>
      <c r="E716" s="17">
        <v>0.67939248070379288</v>
      </c>
      <c r="F716" s="17">
        <v>0.32060751929620718</v>
      </c>
      <c r="G716" s="13">
        <v>0.8068436736197141</v>
      </c>
      <c r="H716" s="13">
        <v>2.1188041930891677</v>
      </c>
      <c r="I716" s="14">
        <v>10.089925624841921</v>
      </c>
      <c r="J716" s="16">
        <v>0.74370000000000003</v>
      </c>
      <c r="K716" s="16">
        <v>0.74370000000000003</v>
      </c>
      <c r="L716" s="13">
        <v>0.40229999999999999</v>
      </c>
      <c r="M716" s="13">
        <v>6.9500000000000006E-2</v>
      </c>
      <c r="N716" s="13">
        <v>9.9299999999999999E-2</v>
      </c>
      <c r="O716" s="13">
        <v>4.3200000000000002E-2</v>
      </c>
      <c r="P716" s="16">
        <v>0.86049999999999993</v>
      </c>
      <c r="Q716" s="16">
        <v>0.85450000000000004</v>
      </c>
      <c r="R716" s="16">
        <v>0.86069999999999991</v>
      </c>
      <c r="S716" s="16">
        <f t="shared" si="24"/>
        <v>0.85856666666666659</v>
      </c>
      <c r="T716" s="18">
        <v>0.47432924809539501</v>
      </c>
      <c r="U716" s="1">
        <v>8.4033613450000004</v>
      </c>
      <c r="V716" s="1">
        <f t="shared" si="23"/>
        <v>2.2410672152495468</v>
      </c>
      <c r="W716" s="25"/>
      <c r="X716">
        <v>0.14510000000000001</v>
      </c>
      <c r="Y716" s="1">
        <v>3.2800000000000003E-2</v>
      </c>
      <c r="Z716" s="1">
        <v>3.2300000000000002E-2</v>
      </c>
      <c r="AA716" s="1">
        <v>28332</v>
      </c>
      <c r="AB716" s="1">
        <v>238</v>
      </c>
      <c r="AC716" s="29">
        <v>6007</v>
      </c>
    </row>
    <row r="717" spans="1:29">
      <c r="A717" s="12">
        <v>50</v>
      </c>
      <c r="B717" s="12" t="s">
        <v>720</v>
      </c>
      <c r="C717" s="12">
        <v>50711</v>
      </c>
      <c r="D717" s="12" t="s">
        <v>745</v>
      </c>
      <c r="E717" s="17">
        <v>0.92939081242470278</v>
      </c>
      <c r="F717" s="17">
        <v>7.0609187575297258E-2</v>
      </c>
      <c r="G717" s="13">
        <v>0.98447813531353134</v>
      </c>
      <c r="H717" s="13">
        <v>13.152705707931801</v>
      </c>
      <c r="I717" s="14">
        <v>9.8570246781257875</v>
      </c>
      <c r="J717" s="16">
        <v>0.7974</v>
      </c>
      <c r="K717" s="16">
        <v>0.7974</v>
      </c>
      <c r="L717" s="13">
        <v>0.33760000000000001</v>
      </c>
      <c r="M717" s="13">
        <v>6.8000000000000005E-2</v>
      </c>
      <c r="N717" s="13">
        <v>8.1000000000000003E-2</v>
      </c>
      <c r="O717" s="13">
        <v>4.7E-2</v>
      </c>
      <c r="P717" s="16">
        <v>0</v>
      </c>
      <c r="Q717" s="16">
        <v>0</v>
      </c>
      <c r="R717" s="16">
        <v>0</v>
      </c>
      <c r="S717" s="16">
        <f t="shared" si="24"/>
        <v>0</v>
      </c>
      <c r="T717" s="18">
        <v>0.55151515151515096</v>
      </c>
      <c r="U717" s="1">
        <v>11.17318436</v>
      </c>
      <c r="V717" s="1">
        <f t="shared" si="23"/>
        <v>2.4992355293057926</v>
      </c>
      <c r="W717" s="25"/>
      <c r="X717">
        <v>6.13E-2</v>
      </c>
      <c r="Y717" s="1">
        <v>1.1900000000000001E-2</v>
      </c>
      <c r="Z717" s="1">
        <v>1.1900000000000001E-2</v>
      </c>
      <c r="AA717" s="1">
        <v>18421</v>
      </c>
      <c r="AB717" s="1">
        <v>179</v>
      </c>
      <c r="AC717" s="29">
        <v>3942</v>
      </c>
    </row>
    <row r="718" spans="1:29">
      <c r="A718" s="12">
        <v>52</v>
      </c>
      <c r="B718" s="12" t="s">
        <v>746</v>
      </c>
      <c r="C718" s="12">
        <v>52001</v>
      </c>
      <c r="D718" s="12" t="s">
        <v>783</v>
      </c>
      <c r="E718" s="17">
        <v>0.60732049225626439</v>
      </c>
      <c r="F718" s="17">
        <v>0.39266153562747397</v>
      </c>
      <c r="G718" s="13">
        <v>1</v>
      </c>
      <c r="H718" s="13">
        <v>1.5466679634757534</v>
      </c>
      <c r="I718" s="14">
        <v>13.006132885927281</v>
      </c>
      <c r="J718" s="16">
        <v>0.96550000000000002</v>
      </c>
      <c r="K718" s="16">
        <v>0.96419999999999995</v>
      </c>
      <c r="L718" s="13">
        <v>0.65910000000000002</v>
      </c>
      <c r="M718" s="13">
        <v>2.1000000000000001E-2</v>
      </c>
      <c r="N718" s="13">
        <v>6.6900000000000001E-2</v>
      </c>
      <c r="O718" s="13">
        <v>7.1800000000000003E-2</v>
      </c>
      <c r="P718" s="16">
        <v>0.75749999999999995</v>
      </c>
      <c r="Q718" s="16">
        <v>0.73089999999999999</v>
      </c>
      <c r="R718" s="16"/>
      <c r="S718" s="16">
        <f t="shared" si="24"/>
        <v>0.49613333333333332</v>
      </c>
      <c r="T718" s="18">
        <v>1</v>
      </c>
      <c r="U718" s="1">
        <v>9.2296769609999991</v>
      </c>
      <c r="V718" s="1">
        <f t="shared" si="23"/>
        <v>2.3252930018500932</v>
      </c>
      <c r="W718" s="26"/>
      <c r="X718">
        <v>0.17630000000000001</v>
      </c>
      <c r="Y718" s="1">
        <v>1.8894</v>
      </c>
      <c r="Z718" s="1">
        <v>1.0610999999999999</v>
      </c>
      <c r="AA718" s="1">
        <v>403166</v>
      </c>
      <c r="AB718" s="1">
        <v>2817</v>
      </c>
      <c r="AC718" s="29">
        <v>62982</v>
      </c>
    </row>
    <row r="719" spans="1:29">
      <c r="A719" s="12">
        <v>52</v>
      </c>
      <c r="B719" s="12" t="s">
        <v>746</v>
      </c>
      <c r="C719" s="12">
        <v>52019</v>
      </c>
      <c r="D719" s="12" t="s">
        <v>521</v>
      </c>
      <c r="E719" s="17">
        <v>0.94320958920051201</v>
      </c>
      <c r="F719" s="17">
        <v>5.6790410799487955E-2</v>
      </c>
      <c r="G719" s="13">
        <v>0.85332671300893748</v>
      </c>
      <c r="H719" s="13">
        <v>16.574642126789367</v>
      </c>
      <c r="I719" s="14">
        <v>9.0588195643349412</v>
      </c>
      <c r="J719" s="16">
        <v>0.73150000000000004</v>
      </c>
      <c r="K719" s="16">
        <v>0.73150000000000004</v>
      </c>
      <c r="L719" s="13">
        <v>0.54610000000000003</v>
      </c>
      <c r="M719" s="13">
        <v>1.72E-2</v>
      </c>
      <c r="N719" s="13">
        <v>4.0399999999999998E-2</v>
      </c>
      <c r="O719" s="13">
        <v>1.72E-2</v>
      </c>
      <c r="P719" s="16">
        <v>1</v>
      </c>
      <c r="Q719" s="16">
        <v>0.20420000000000002</v>
      </c>
      <c r="R719" s="16">
        <v>1</v>
      </c>
      <c r="S719" s="16">
        <f t="shared" si="24"/>
        <v>0.73473333333333335</v>
      </c>
      <c r="T719" s="18">
        <v>0.73465889612615698</v>
      </c>
      <c r="U719" s="1">
        <v>0</v>
      </c>
      <c r="V719" s="1">
        <f t="shared" si="23"/>
        <v>0</v>
      </c>
      <c r="W719" s="26"/>
      <c r="X719">
        <v>2.2599999999999999E-2</v>
      </c>
      <c r="Y719" s="1">
        <v>0.26879999999999998</v>
      </c>
      <c r="Z719" s="1">
        <v>0.23799999999999999</v>
      </c>
      <c r="AA719" s="1">
        <v>9628</v>
      </c>
      <c r="AB719" s="1">
        <v>35</v>
      </c>
      <c r="AC719" s="29">
        <v>1591</v>
      </c>
    </row>
    <row r="720" spans="1:29">
      <c r="A720" s="12">
        <v>52</v>
      </c>
      <c r="B720" s="12" t="s">
        <v>746</v>
      </c>
      <c r="C720" s="12">
        <v>52022</v>
      </c>
      <c r="D720" s="12" t="s">
        <v>747</v>
      </c>
      <c r="E720" s="17">
        <v>0.91045828437132781</v>
      </c>
      <c r="F720" s="17">
        <v>8.954171562867215E-2</v>
      </c>
      <c r="G720" s="13">
        <v>1</v>
      </c>
      <c r="H720" s="13">
        <v>10.154652686762779</v>
      </c>
      <c r="I720" s="14">
        <v>9.0491147234769613</v>
      </c>
      <c r="J720" s="16">
        <v>1.0221</v>
      </c>
      <c r="K720" s="16">
        <v>1.0221</v>
      </c>
      <c r="L720" s="13">
        <v>0.69950000000000001</v>
      </c>
      <c r="M720" s="13">
        <v>1.32E-2</v>
      </c>
      <c r="N720" s="13">
        <v>7.22E-2</v>
      </c>
      <c r="O720" s="13">
        <v>9.6299999999999997E-2</v>
      </c>
      <c r="P720" s="16">
        <v>0.76730000000000009</v>
      </c>
      <c r="Q720" s="16">
        <v>0.59370000000000001</v>
      </c>
      <c r="R720" s="16">
        <v>0.59370000000000001</v>
      </c>
      <c r="S720" s="16">
        <f t="shared" si="24"/>
        <v>0.65156666666666674</v>
      </c>
      <c r="T720" s="18">
        <v>1</v>
      </c>
      <c r="U720" s="1">
        <v>0</v>
      </c>
      <c r="V720" s="1">
        <f t="shared" si="23"/>
        <v>0</v>
      </c>
      <c r="W720" s="25"/>
      <c r="X720">
        <v>1.7999999999999999E-2</v>
      </c>
      <c r="Y720" s="1">
        <v>0.56330000000000002</v>
      </c>
      <c r="Z720" s="1">
        <v>0.44679999999999997</v>
      </c>
      <c r="AA720" s="1">
        <v>7748</v>
      </c>
      <c r="AB720" s="1">
        <v>37</v>
      </c>
      <c r="AC720" s="29">
        <v>1334</v>
      </c>
    </row>
    <row r="721" spans="1:29">
      <c r="A721" s="12">
        <v>52</v>
      </c>
      <c r="B721" s="12" t="s">
        <v>746</v>
      </c>
      <c r="C721" s="12">
        <v>52036</v>
      </c>
      <c r="D721" s="12" t="s">
        <v>748</v>
      </c>
      <c r="E721" s="17">
        <v>0.94259064634787182</v>
      </c>
      <c r="F721" s="17">
        <v>5.7409353652128216E-2</v>
      </c>
      <c r="G721" s="13">
        <v>0.83574879227053145</v>
      </c>
      <c r="H721" s="13">
        <v>16.381278538812786</v>
      </c>
      <c r="I721" s="14">
        <v>8.9376125913062126</v>
      </c>
      <c r="J721" s="16">
        <v>0.71379999999999999</v>
      </c>
      <c r="K721" s="16">
        <v>0.71379999999999999</v>
      </c>
      <c r="L721" s="13">
        <v>0.54630000000000001</v>
      </c>
      <c r="M721" s="13">
        <v>1.0500000000000001E-2</v>
      </c>
      <c r="N721" s="13">
        <v>3.3799999999999997E-2</v>
      </c>
      <c r="O721" s="13">
        <v>2.2200000000000001E-2</v>
      </c>
      <c r="P721" s="16">
        <v>1</v>
      </c>
      <c r="Q721" s="16">
        <v>0.18109999999999998</v>
      </c>
      <c r="R721" s="16">
        <v>0</v>
      </c>
      <c r="S721" s="16">
        <f t="shared" si="24"/>
        <v>0.39369999999999999</v>
      </c>
      <c r="T721" s="18">
        <v>0.85732061385317293</v>
      </c>
      <c r="U721" s="1">
        <v>0</v>
      </c>
      <c r="V721" s="1">
        <f t="shared" si="23"/>
        <v>0</v>
      </c>
      <c r="W721" s="26"/>
      <c r="X721">
        <v>2.2599999999999999E-2</v>
      </c>
      <c r="Y721" s="1">
        <v>8.4400000000000003E-2</v>
      </c>
      <c r="Z721" s="1">
        <v>8.1000000000000003E-2</v>
      </c>
      <c r="AA721" s="1">
        <v>8823</v>
      </c>
      <c r="AB721" s="1">
        <v>17</v>
      </c>
      <c r="AC721" s="29">
        <v>1227</v>
      </c>
    </row>
    <row r="722" spans="1:29">
      <c r="A722" s="12">
        <v>52</v>
      </c>
      <c r="B722" s="12" t="s">
        <v>746</v>
      </c>
      <c r="C722" s="12">
        <v>52051</v>
      </c>
      <c r="D722" s="12" t="s">
        <v>749</v>
      </c>
      <c r="E722" s="17">
        <v>0.952247191011236</v>
      </c>
      <c r="F722" s="17">
        <v>4.7752808988764044E-2</v>
      </c>
      <c r="G722" s="13">
        <v>0.77848239667614261</v>
      </c>
      <c r="H722" s="13">
        <v>19.882697947214076</v>
      </c>
      <c r="I722" s="14">
        <v>8.8708034439821244</v>
      </c>
      <c r="J722" s="16">
        <v>0.64810000000000001</v>
      </c>
      <c r="K722" s="16">
        <v>0.64810000000000001</v>
      </c>
      <c r="L722" s="13">
        <v>0.52139999999999997</v>
      </c>
      <c r="M722" s="13">
        <v>1.2699999999999999E-2</v>
      </c>
      <c r="N722" s="13">
        <v>4.2000000000000003E-2</v>
      </c>
      <c r="O722" s="13">
        <v>2E-3</v>
      </c>
      <c r="P722" s="16">
        <v>0.42909999999999998</v>
      </c>
      <c r="Q722" s="16">
        <v>0.38600000000000001</v>
      </c>
      <c r="R722" s="16">
        <v>0.42119999999999996</v>
      </c>
      <c r="S722" s="16">
        <f t="shared" si="24"/>
        <v>0.41209999999999997</v>
      </c>
      <c r="T722" s="18">
        <v>0.81807692307692303</v>
      </c>
      <c r="U722" s="1">
        <v>34.482758619999998</v>
      </c>
      <c r="V722" s="1">
        <f t="shared" si="23"/>
        <v>3.5690469058281393</v>
      </c>
      <c r="W722" s="25"/>
      <c r="X722">
        <v>7.3000000000000001E-3</v>
      </c>
      <c r="Y722" s="1">
        <v>0.2334</v>
      </c>
      <c r="Z722" s="1">
        <v>0.2097</v>
      </c>
      <c r="AA722" s="1">
        <v>9049</v>
      </c>
      <c r="AB722" s="1">
        <v>29</v>
      </c>
      <c r="AC722" s="29">
        <v>1636</v>
      </c>
    </row>
    <row r="723" spans="1:29">
      <c r="A723" s="12">
        <v>52</v>
      </c>
      <c r="B723" s="12" t="s">
        <v>746</v>
      </c>
      <c r="C723" s="12">
        <v>52079</v>
      </c>
      <c r="D723" s="12" t="s">
        <v>750</v>
      </c>
      <c r="E723" s="17">
        <v>0.9631728771830842</v>
      </c>
      <c r="F723" s="17">
        <v>3.6827122816915858E-2</v>
      </c>
      <c r="G723" s="13">
        <v>0.66531872781872781</v>
      </c>
      <c r="H723" s="13">
        <v>26.1356993736952</v>
      </c>
      <c r="I723" s="14">
        <v>10.571163067122404</v>
      </c>
      <c r="J723" s="16">
        <v>0.54559999999999997</v>
      </c>
      <c r="K723" s="16">
        <v>0.54559999999999997</v>
      </c>
      <c r="L723" s="13">
        <v>0.1515</v>
      </c>
      <c r="M723" s="13">
        <v>4.8099999999999997E-2</v>
      </c>
      <c r="N723" s="13">
        <v>0.11849999999999999</v>
      </c>
      <c r="O723" s="13">
        <v>6.2799999999999995E-2</v>
      </c>
      <c r="P723" s="16">
        <v>0.75430000000000008</v>
      </c>
      <c r="Q723" s="16">
        <v>0.75439999999999996</v>
      </c>
      <c r="R723" s="16">
        <v>0.57940000000000003</v>
      </c>
      <c r="S723" s="16">
        <f t="shared" si="24"/>
        <v>0.69603333333333339</v>
      </c>
      <c r="T723" s="18">
        <v>0.43192887514495504</v>
      </c>
      <c r="U723" s="1">
        <v>5</v>
      </c>
      <c r="V723" s="1">
        <f t="shared" si="23"/>
        <v>1.791759469228055</v>
      </c>
      <c r="W723" s="26"/>
      <c r="X723">
        <v>8.0999999999999996E-3</v>
      </c>
      <c r="Y723" s="1">
        <v>0</v>
      </c>
      <c r="Z723" s="1">
        <v>0</v>
      </c>
      <c r="AA723" s="1">
        <v>63548</v>
      </c>
      <c r="AB723" s="1">
        <v>400</v>
      </c>
      <c r="AC723" s="29">
        <v>19135</v>
      </c>
    </row>
    <row r="724" spans="1:29">
      <c r="A724" s="12">
        <v>52</v>
      </c>
      <c r="B724" s="12" t="s">
        <v>746</v>
      </c>
      <c r="C724" s="12">
        <v>52083</v>
      </c>
      <c r="D724" s="12" t="s">
        <v>220</v>
      </c>
      <c r="E724" s="17">
        <v>0.93352601156069359</v>
      </c>
      <c r="F724" s="17">
        <v>6.6473988439306353E-2</v>
      </c>
      <c r="G724" s="13">
        <v>0.83423749246534051</v>
      </c>
      <c r="H724" s="13">
        <v>14.005420054200542</v>
      </c>
      <c r="I724" s="14">
        <v>8.6192081168229677</v>
      </c>
      <c r="J724" s="16">
        <v>0.82440000000000002</v>
      </c>
      <c r="K724" s="16">
        <v>0.82440000000000002</v>
      </c>
      <c r="L724" s="13">
        <v>0.49070000000000003</v>
      </c>
      <c r="M724" s="13">
        <v>1.7500000000000002E-2</v>
      </c>
      <c r="N724" s="13">
        <v>3.9899999999999998E-2</v>
      </c>
      <c r="O724" s="13">
        <v>5.11E-2</v>
      </c>
      <c r="P724" s="16">
        <v>0.44549999999999995</v>
      </c>
      <c r="Q724" s="16">
        <v>0.4113</v>
      </c>
      <c r="R724" s="16">
        <v>0.4113</v>
      </c>
      <c r="S724" s="16">
        <f t="shared" si="24"/>
        <v>0.42270000000000002</v>
      </c>
      <c r="T724" s="18">
        <v>1</v>
      </c>
      <c r="U724" s="1">
        <v>57.142857139999997</v>
      </c>
      <c r="V724" s="1">
        <f t="shared" si="23"/>
        <v>4.0629030363381418</v>
      </c>
      <c r="W724" s="25"/>
      <c r="X724">
        <v>5.5100000000000003E-2</v>
      </c>
      <c r="Y724" s="1">
        <v>0.3392</v>
      </c>
      <c r="Z724" s="1">
        <v>0.29210000000000003</v>
      </c>
      <c r="AA724" s="1">
        <v>6288</v>
      </c>
      <c r="AB724" s="1">
        <v>35</v>
      </c>
      <c r="AC724" s="29">
        <v>952</v>
      </c>
    </row>
    <row r="725" spans="1:29">
      <c r="A725" s="12">
        <v>52</v>
      </c>
      <c r="B725" s="12" t="s">
        <v>746</v>
      </c>
      <c r="C725" s="12">
        <v>52110</v>
      </c>
      <c r="D725" s="12" t="s">
        <v>751</v>
      </c>
      <c r="E725" s="17">
        <v>0.93938551369386902</v>
      </c>
      <c r="F725" s="17">
        <v>6.0614486306130963E-2</v>
      </c>
      <c r="G725" s="13">
        <v>0.86099030443282931</v>
      </c>
      <c r="H725" s="13">
        <v>15.485867074102368</v>
      </c>
      <c r="I725" s="14">
        <v>9.979522238812125</v>
      </c>
      <c r="J725" s="16">
        <v>0.75119999999999998</v>
      </c>
      <c r="K725" s="16">
        <v>0.75119999999999998</v>
      </c>
      <c r="L725" s="13">
        <v>0.43540000000000001</v>
      </c>
      <c r="M725" s="13">
        <v>2.1600000000000001E-2</v>
      </c>
      <c r="N725" s="13">
        <v>5.8900000000000001E-2</v>
      </c>
      <c r="O725" s="13">
        <v>6.8099999999999994E-2</v>
      </c>
      <c r="P725" s="16">
        <v>1</v>
      </c>
      <c r="Q725" s="16">
        <v>0.49740000000000001</v>
      </c>
      <c r="R725" s="16">
        <v>0.49770000000000003</v>
      </c>
      <c r="S725" s="16">
        <f t="shared" si="24"/>
        <v>0.66503333333333337</v>
      </c>
      <c r="T725" s="18">
        <v>0.79498439847451707</v>
      </c>
      <c r="U725" s="1">
        <v>0</v>
      </c>
      <c r="V725" s="1">
        <f t="shared" si="23"/>
        <v>0</v>
      </c>
      <c r="W725" s="26"/>
      <c r="X725">
        <v>1.8200000000000001E-2</v>
      </c>
      <c r="Y725" s="1">
        <v>0.1318</v>
      </c>
      <c r="Z725" s="1">
        <v>0.1239</v>
      </c>
      <c r="AA725" s="1">
        <v>25040</v>
      </c>
      <c r="AB725" s="1">
        <v>119</v>
      </c>
      <c r="AC725" s="29">
        <v>4469</v>
      </c>
    </row>
    <row r="726" spans="1:29">
      <c r="A726" s="12">
        <v>52</v>
      </c>
      <c r="B726" s="12" t="s">
        <v>746</v>
      </c>
      <c r="C726" s="12">
        <v>52203</v>
      </c>
      <c r="D726" s="12" t="s">
        <v>753</v>
      </c>
      <c r="E726" s="17">
        <v>0.95623782792988887</v>
      </c>
      <c r="F726" s="17">
        <v>4.3762172070111127E-2</v>
      </c>
      <c r="G726" s="13">
        <v>0.98034591194968557</v>
      </c>
      <c r="H726" s="13">
        <v>21.79373368146214</v>
      </c>
      <c r="I726" s="14">
        <v>9.0745206488336478</v>
      </c>
      <c r="J726" s="16">
        <v>0.75600000000000001</v>
      </c>
      <c r="K726" s="16">
        <v>0.75600000000000001</v>
      </c>
      <c r="L726" s="13">
        <v>0.52890000000000004</v>
      </c>
      <c r="M726" s="13">
        <v>3.3799999999999997E-2</v>
      </c>
      <c r="N726" s="13">
        <v>5.7200000000000001E-2</v>
      </c>
      <c r="O726" s="13">
        <v>5.8200000000000002E-2</v>
      </c>
      <c r="P726" s="16">
        <v>0.29659999999999997</v>
      </c>
      <c r="Q726" s="16">
        <v>8.5500000000000007E-2</v>
      </c>
      <c r="R726" s="16">
        <v>0.20569999999999999</v>
      </c>
      <c r="S726" s="16">
        <f t="shared" si="24"/>
        <v>0.19593333333333332</v>
      </c>
      <c r="T726" s="18">
        <v>0.97882352941176409</v>
      </c>
      <c r="U726" s="1">
        <v>0</v>
      </c>
      <c r="V726" s="1">
        <f t="shared" si="23"/>
        <v>0</v>
      </c>
      <c r="W726" s="26"/>
      <c r="X726">
        <v>6.1999999999999998E-3</v>
      </c>
      <c r="Y726" s="1">
        <v>0.27450000000000002</v>
      </c>
      <c r="Z726" s="1">
        <v>0.24249999999999999</v>
      </c>
      <c r="AA726" s="1">
        <v>8501</v>
      </c>
      <c r="AB726" s="1">
        <v>30</v>
      </c>
      <c r="AC726" s="29">
        <v>1428</v>
      </c>
    </row>
    <row r="727" spans="1:29">
      <c r="A727" s="12">
        <v>52</v>
      </c>
      <c r="B727" s="12" t="s">
        <v>746</v>
      </c>
      <c r="C727" s="12">
        <v>52207</v>
      </c>
      <c r="D727" s="12" t="s">
        <v>754</v>
      </c>
      <c r="E727" s="17">
        <v>0.93240093240093236</v>
      </c>
      <c r="F727" s="17">
        <v>6.75990675990676E-2</v>
      </c>
      <c r="G727" s="13">
        <v>0.71104972375690612</v>
      </c>
      <c r="H727" s="13">
        <v>13.773314203730273</v>
      </c>
      <c r="I727" s="14">
        <v>9.2396078696567514</v>
      </c>
      <c r="J727" s="16">
        <v>0.54320000000000002</v>
      </c>
      <c r="K727" s="16">
        <v>0.54320000000000002</v>
      </c>
      <c r="L727" s="13">
        <v>0.3629</v>
      </c>
      <c r="M727" s="13">
        <v>3.2899999999999999E-2</v>
      </c>
      <c r="N727" s="13">
        <v>9.0499999999999997E-2</v>
      </c>
      <c r="O727" s="13">
        <v>8.7999999999999995E-2</v>
      </c>
      <c r="P727" s="16">
        <v>1</v>
      </c>
      <c r="Q727" s="16">
        <v>0.71540000000000004</v>
      </c>
      <c r="R727" s="16">
        <v>0.87450000000000006</v>
      </c>
      <c r="S727" s="16">
        <f t="shared" si="24"/>
        <v>0.86330000000000007</v>
      </c>
      <c r="T727" s="18">
        <v>0.72030567685589508</v>
      </c>
      <c r="U727" s="1">
        <v>0</v>
      </c>
      <c r="V727" s="1">
        <f t="shared" si="23"/>
        <v>0</v>
      </c>
      <c r="W727" s="25"/>
      <c r="X727">
        <v>1.06E-2</v>
      </c>
      <c r="Y727" s="1">
        <v>0.216</v>
      </c>
      <c r="Z727" s="1">
        <v>0.1956</v>
      </c>
      <c r="AA727" s="1">
        <v>15175</v>
      </c>
      <c r="AB727" s="1">
        <v>39</v>
      </c>
      <c r="AC727" s="29">
        <v>2479</v>
      </c>
    </row>
    <row r="728" spans="1:29">
      <c r="A728" s="12">
        <v>52</v>
      </c>
      <c r="B728" s="12" t="s">
        <v>746</v>
      </c>
      <c r="C728" s="12">
        <v>52210</v>
      </c>
      <c r="D728" s="12" t="s">
        <v>755</v>
      </c>
      <c r="E728" s="17">
        <v>0.91852151625522727</v>
      </c>
      <c r="F728" s="17">
        <v>8.1478483744772692E-2</v>
      </c>
      <c r="G728" s="13">
        <v>0.97309004988185877</v>
      </c>
      <c r="H728" s="13">
        <v>11.254545454545454</v>
      </c>
      <c r="I728" s="14">
        <v>8.9111253837106776</v>
      </c>
      <c r="J728" s="16">
        <v>0.52890000000000004</v>
      </c>
      <c r="K728" s="16">
        <v>0.52890000000000004</v>
      </c>
      <c r="L728" s="13">
        <v>0.32990000000000003</v>
      </c>
      <c r="M728" s="13">
        <v>1.49E-2</v>
      </c>
      <c r="N728" s="13">
        <v>4.1700000000000001E-2</v>
      </c>
      <c r="O728" s="13">
        <v>5.3600000000000002E-2</v>
      </c>
      <c r="P728" s="16">
        <v>1</v>
      </c>
      <c r="Q728" s="16">
        <v>0.8044</v>
      </c>
      <c r="R728" s="16">
        <v>0.27160000000000001</v>
      </c>
      <c r="S728" s="16">
        <f t="shared" si="24"/>
        <v>0.69200000000000006</v>
      </c>
      <c r="T728" s="18">
        <v>0.81205225453012997</v>
      </c>
      <c r="U728" s="1">
        <v>0</v>
      </c>
      <c r="V728" s="1">
        <f t="shared" si="23"/>
        <v>0</v>
      </c>
      <c r="W728" s="26"/>
      <c r="X728">
        <v>0.11700000000000001</v>
      </c>
      <c r="Y728" s="1">
        <v>0.71860000000000002</v>
      </c>
      <c r="Z728" s="1">
        <v>0.54149999999999998</v>
      </c>
      <c r="AA728" s="1">
        <v>7530</v>
      </c>
      <c r="AB728" s="1">
        <v>38</v>
      </c>
      <c r="AC728" s="29">
        <v>1317</v>
      </c>
    </row>
    <row r="729" spans="1:29">
      <c r="A729" s="12">
        <v>52</v>
      </c>
      <c r="B729" s="12" t="s">
        <v>746</v>
      </c>
      <c r="C729" s="12">
        <v>52215</v>
      </c>
      <c r="D729" s="12" t="s">
        <v>181</v>
      </c>
      <c r="E729" s="17">
        <v>0.95527594369004609</v>
      </c>
      <c r="F729" s="17">
        <v>4.4724056309953908E-2</v>
      </c>
      <c r="G729" s="13">
        <v>0.98261721140898517</v>
      </c>
      <c r="H729" s="13">
        <v>21.32962447844228</v>
      </c>
      <c r="I729" s="14">
        <v>9.6837756065236142</v>
      </c>
      <c r="J729" s="16">
        <v>0.75039999999999996</v>
      </c>
      <c r="K729" s="16">
        <v>0.75039999999999996</v>
      </c>
      <c r="L729" s="13">
        <v>0.45950000000000002</v>
      </c>
      <c r="M729" s="13">
        <v>1.4800000000000001E-2</v>
      </c>
      <c r="N729" s="13">
        <v>5.0299999999999997E-2</v>
      </c>
      <c r="O729" s="13">
        <v>5.7500000000000002E-2</v>
      </c>
      <c r="P729" s="16">
        <v>1</v>
      </c>
      <c r="Q729" s="16">
        <v>0.58109999999999995</v>
      </c>
      <c r="R729" s="16">
        <v>0.17829999999999999</v>
      </c>
      <c r="S729" s="16">
        <f t="shared" si="24"/>
        <v>0.58646666666666658</v>
      </c>
      <c r="T729" s="18">
        <v>0.97175639894086496</v>
      </c>
      <c r="U729" s="1">
        <v>9.7087378639999997</v>
      </c>
      <c r="V729" s="1">
        <f t="shared" si="23"/>
        <v>2.3710600310166137</v>
      </c>
      <c r="W729" s="25"/>
      <c r="X729">
        <v>1.6199999999999999E-2</v>
      </c>
      <c r="Y729" s="1">
        <v>8.4699999999999998E-2</v>
      </c>
      <c r="Z729" s="1">
        <v>8.1299999999999997E-2</v>
      </c>
      <c r="AA729" s="1">
        <v>16735</v>
      </c>
      <c r="AB729" s="1">
        <v>103</v>
      </c>
      <c r="AC729" s="29">
        <v>3227</v>
      </c>
    </row>
    <row r="730" spans="1:29">
      <c r="A730" s="12">
        <v>52</v>
      </c>
      <c r="B730" s="12" t="s">
        <v>746</v>
      </c>
      <c r="C730" s="12">
        <v>52224</v>
      </c>
      <c r="D730" s="12" t="s">
        <v>756</v>
      </c>
      <c r="E730" s="17">
        <v>0.95310712924132668</v>
      </c>
      <c r="F730" s="17">
        <v>4.6892870758673273E-2</v>
      </c>
      <c r="G730" s="13">
        <v>1</v>
      </c>
      <c r="H730" s="13">
        <v>20.28397565922921</v>
      </c>
      <c r="I730" s="14">
        <v>9.2584636471579103</v>
      </c>
      <c r="J730" s="16">
        <v>0.58099999999999996</v>
      </c>
      <c r="K730" s="16">
        <v>0.58099999999999996</v>
      </c>
      <c r="L730" s="13">
        <v>0.34720000000000001</v>
      </c>
      <c r="M730" s="13">
        <v>1.4800000000000001E-2</v>
      </c>
      <c r="N730" s="13">
        <v>7.6899999999999996E-2</v>
      </c>
      <c r="O730" s="13">
        <v>2.6599999999999999E-2</v>
      </c>
      <c r="P730" s="16">
        <v>0.61260000000000003</v>
      </c>
      <c r="Q730" s="16">
        <v>0.57740000000000002</v>
      </c>
      <c r="R730" s="16">
        <v>0.2447</v>
      </c>
      <c r="S730" s="16">
        <f t="shared" si="24"/>
        <v>0.47823333333333329</v>
      </c>
      <c r="T730" s="18">
        <v>0.83916990920881895</v>
      </c>
      <c r="U730" s="1">
        <v>0</v>
      </c>
      <c r="V730" s="1">
        <f t="shared" si="23"/>
        <v>0</v>
      </c>
      <c r="W730" s="26"/>
      <c r="X730">
        <v>8.6999999999999994E-3</v>
      </c>
      <c r="Y730" s="1">
        <v>0.69430000000000003</v>
      </c>
      <c r="Z730" s="1">
        <v>0.52729999999999999</v>
      </c>
      <c r="AA730" s="1">
        <v>9889</v>
      </c>
      <c r="AB730" s="1">
        <v>58</v>
      </c>
      <c r="AC730" s="29">
        <v>1823</v>
      </c>
    </row>
    <row r="731" spans="1:29">
      <c r="A731" s="12">
        <v>52</v>
      </c>
      <c r="B731" s="12" t="s">
        <v>746</v>
      </c>
      <c r="C731" s="12">
        <v>52227</v>
      </c>
      <c r="D731" s="12" t="s">
        <v>757</v>
      </c>
      <c r="E731" s="17">
        <v>0.93703555733120258</v>
      </c>
      <c r="F731" s="17">
        <v>6.2964442668797443E-2</v>
      </c>
      <c r="G731" s="13">
        <v>0.96785419674159623</v>
      </c>
      <c r="H731" s="13">
        <v>14.87568710359408</v>
      </c>
      <c r="I731" s="14">
        <v>10.533322126884308</v>
      </c>
      <c r="J731" s="16">
        <v>0.79469999999999996</v>
      </c>
      <c r="K731" s="16">
        <v>0.79459999999999997</v>
      </c>
      <c r="L731" s="13">
        <v>0.61019999999999996</v>
      </c>
      <c r="M731" s="13">
        <v>8.6E-3</v>
      </c>
      <c r="N731" s="13">
        <v>2.8400000000000002E-2</v>
      </c>
      <c r="O731" s="13">
        <v>1.47E-2</v>
      </c>
      <c r="P731" s="16">
        <v>1</v>
      </c>
      <c r="Q731" s="16">
        <v>0.62850000000000006</v>
      </c>
      <c r="R731" s="16">
        <v>0.80879999999999996</v>
      </c>
      <c r="S731" s="16">
        <f t="shared" si="24"/>
        <v>0.81243333333333334</v>
      </c>
      <c r="T731" s="18">
        <v>0.80335217306567897</v>
      </c>
      <c r="U731" s="1">
        <v>4.329004329</v>
      </c>
      <c r="V731" s="1">
        <f t="shared" si="23"/>
        <v>1.6731644156618477</v>
      </c>
      <c r="W731" s="25"/>
      <c r="X731">
        <v>1.03E-2</v>
      </c>
      <c r="Y731" s="1">
        <v>7.0099999999999996E-2</v>
      </c>
      <c r="Z731" s="1">
        <v>6.7699999999999996E-2</v>
      </c>
      <c r="AA731" s="1">
        <v>40406</v>
      </c>
      <c r="AB731" s="1">
        <v>231</v>
      </c>
      <c r="AC731" s="29">
        <v>7701</v>
      </c>
    </row>
    <row r="732" spans="1:29">
      <c r="A732" s="12">
        <v>52</v>
      </c>
      <c r="B732" s="12" t="s">
        <v>746</v>
      </c>
      <c r="C732" s="12">
        <v>52233</v>
      </c>
      <c r="D732" s="12" t="s">
        <v>758</v>
      </c>
      <c r="E732" s="17">
        <v>0.96802841918294846</v>
      </c>
      <c r="F732" s="17">
        <v>3.1971580817051509E-2</v>
      </c>
      <c r="G732" s="13">
        <v>1</v>
      </c>
      <c r="H732" s="13">
        <v>30.166051660516604</v>
      </c>
      <c r="I732" s="14">
        <v>9.0414482354938883</v>
      </c>
      <c r="J732" s="16">
        <v>1.1233</v>
      </c>
      <c r="K732" s="16">
        <v>1.1233</v>
      </c>
      <c r="L732" s="13">
        <v>0.4718</v>
      </c>
      <c r="M732" s="13">
        <v>4.7199999999999999E-2</v>
      </c>
      <c r="N732" s="13">
        <v>5.5E-2</v>
      </c>
      <c r="O732" s="13">
        <v>4.8800000000000003E-2</v>
      </c>
      <c r="P732" s="16">
        <v>0.84379999999999999</v>
      </c>
      <c r="Q732" s="16">
        <v>0.58310000000000006</v>
      </c>
      <c r="R732" s="16">
        <v>0.1246</v>
      </c>
      <c r="S732" s="16">
        <f t="shared" si="24"/>
        <v>0.51716666666666666</v>
      </c>
      <c r="T732" s="18">
        <v>1</v>
      </c>
      <c r="U732" s="1">
        <v>0</v>
      </c>
      <c r="V732" s="1">
        <f t="shared" si="23"/>
        <v>0</v>
      </c>
      <c r="W732" s="26"/>
      <c r="X732">
        <v>1.3599999999999999E-2</v>
      </c>
      <c r="Y732" s="1">
        <v>1.49E-2</v>
      </c>
      <c r="Z732" s="1">
        <v>1.4800000000000001E-2</v>
      </c>
      <c r="AA732" s="1">
        <v>5948</v>
      </c>
      <c r="AB732" s="1">
        <v>53</v>
      </c>
      <c r="AC732" s="29">
        <v>1136</v>
      </c>
    </row>
    <row r="733" spans="1:29">
      <c r="A733" s="12">
        <v>52</v>
      </c>
      <c r="B733" s="12" t="s">
        <v>746</v>
      </c>
      <c r="C733" s="12">
        <v>52240</v>
      </c>
      <c r="D733" s="12" t="s">
        <v>752</v>
      </c>
      <c r="E733" s="17">
        <v>0.8871575342465754</v>
      </c>
      <c r="F733" s="17">
        <v>0.11284246575342466</v>
      </c>
      <c r="G733" s="13">
        <v>0.7323343156310741</v>
      </c>
      <c r="H733" s="13">
        <v>7.855951478392722</v>
      </c>
      <c r="I733" s="14">
        <v>9.3657188691556961</v>
      </c>
      <c r="J733" s="16">
        <v>0.8004</v>
      </c>
      <c r="K733" s="16">
        <v>0.8004</v>
      </c>
      <c r="L733" s="13">
        <v>0.40849999999999997</v>
      </c>
      <c r="M733" s="13">
        <v>2.5499999999999998E-2</v>
      </c>
      <c r="N733" s="13">
        <v>0.1065</v>
      </c>
      <c r="O733" s="13">
        <v>4.1999999999999997E-3</v>
      </c>
      <c r="P733" s="16">
        <v>0.50180000000000002</v>
      </c>
      <c r="Q733" s="16">
        <v>0.3362</v>
      </c>
      <c r="R733" s="16">
        <v>0.35670000000000002</v>
      </c>
      <c r="S733" s="16">
        <f t="shared" si="24"/>
        <v>0.39823333333333338</v>
      </c>
      <c r="T733" s="18">
        <v>0.76009242897920304</v>
      </c>
      <c r="U733" s="1">
        <v>13.15789474</v>
      </c>
      <c r="V733" s="1">
        <f t="shared" si="23"/>
        <v>2.650272400658447</v>
      </c>
      <c r="W733" s="25"/>
      <c r="X733">
        <v>7.0999999999999994E-2</v>
      </c>
      <c r="Y733" s="1">
        <v>0.94210000000000005</v>
      </c>
      <c r="Z733" s="1">
        <v>0.66379999999999995</v>
      </c>
      <c r="AA733" s="1">
        <v>16366</v>
      </c>
      <c r="AB733" s="1">
        <v>76</v>
      </c>
      <c r="AC733" s="29">
        <v>2918</v>
      </c>
    </row>
    <row r="734" spans="1:29">
      <c r="A734" s="12">
        <v>52</v>
      </c>
      <c r="B734" s="12" t="s">
        <v>746</v>
      </c>
      <c r="C734" s="12">
        <v>52250</v>
      </c>
      <c r="D734" s="12" t="s">
        <v>759</v>
      </c>
      <c r="E734" s="17">
        <v>0.96984209163862278</v>
      </c>
      <c r="F734" s="17">
        <v>3.0157908361377168E-2</v>
      </c>
      <c r="G734" s="13">
        <v>0.99694610520882621</v>
      </c>
      <c r="H734" s="13">
        <v>32.112857142857145</v>
      </c>
      <c r="I734" s="14">
        <v>10.051001975324677</v>
      </c>
      <c r="J734" s="16">
        <v>0.80459999999999998</v>
      </c>
      <c r="K734" s="16">
        <v>0.80459999999999998</v>
      </c>
      <c r="L734" s="13">
        <v>0.16650000000000001</v>
      </c>
      <c r="M734" s="13">
        <v>2.0899999999999998E-2</v>
      </c>
      <c r="N734" s="13">
        <v>0.1386</v>
      </c>
      <c r="O734" s="13">
        <v>9.5999999999999992E-3</v>
      </c>
      <c r="P734" s="16">
        <v>0.69079999999999997</v>
      </c>
      <c r="Q734" s="16">
        <v>0.69079999999999997</v>
      </c>
      <c r="R734" s="16">
        <v>0.69079999999999997</v>
      </c>
      <c r="S734" s="16">
        <f t="shared" si="24"/>
        <v>0.69079999999999997</v>
      </c>
      <c r="T734" s="18">
        <v>1</v>
      </c>
      <c r="U734" s="1">
        <v>18.957345969999999</v>
      </c>
      <c r="V734" s="1">
        <f t="shared" si="23"/>
        <v>2.9935972946074951</v>
      </c>
      <c r="W734" s="25"/>
      <c r="X734">
        <v>8.2000000000000007E-3</v>
      </c>
      <c r="Y734" s="1">
        <v>1.1999999999999999E-3</v>
      </c>
      <c r="Z734" s="1">
        <v>1.1999999999999999E-3</v>
      </c>
      <c r="AA734" s="1">
        <v>22396</v>
      </c>
      <c r="AB734" s="1">
        <v>211</v>
      </c>
      <c r="AC734" s="29">
        <v>6751</v>
      </c>
    </row>
    <row r="735" spans="1:29">
      <c r="A735" s="12">
        <v>52</v>
      </c>
      <c r="B735" s="12" t="s">
        <v>746</v>
      </c>
      <c r="C735" s="12">
        <v>52254</v>
      </c>
      <c r="D735" s="12" t="s">
        <v>760</v>
      </c>
      <c r="E735" s="17">
        <v>0.95384148193136953</v>
      </c>
      <c r="F735" s="17">
        <v>4.615851806863043E-2</v>
      </c>
      <c r="G735" s="13">
        <v>0.84696502057613166</v>
      </c>
      <c r="H735" s="13">
        <v>20.59672131147541</v>
      </c>
      <c r="I735" s="14">
        <v>8.7928532886406927</v>
      </c>
      <c r="J735" s="16">
        <v>0.62329999999999997</v>
      </c>
      <c r="K735" s="16">
        <v>0.62329999999999997</v>
      </c>
      <c r="L735" s="13">
        <v>0.43480000000000002</v>
      </c>
      <c r="M735" s="13">
        <v>4.1000000000000003E-3</v>
      </c>
      <c r="N735" s="13">
        <v>3.1800000000000002E-2</v>
      </c>
      <c r="O735" s="13">
        <v>2.7699999999999999E-2</v>
      </c>
      <c r="P735" s="16">
        <v>0.7177</v>
      </c>
      <c r="Q735" s="16">
        <v>0.7177</v>
      </c>
      <c r="R735" s="16">
        <v>1</v>
      </c>
      <c r="S735" s="16">
        <f t="shared" si="24"/>
        <v>0.81179999999999997</v>
      </c>
      <c r="T735" s="18">
        <v>0.78585617798966989</v>
      </c>
      <c r="U735" s="1">
        <v>25.641025639999999</v>
      </c>
      <c r="V735" s="1">
        <f t="shared" si="23"/>
        <v>3.2824523449310825</v>
      </c>
      <c r="W735" s="26"/>
      <c r="X735">
        <v>1.4200000000000001E-2</v>
      </c>
      <c r="Y735" s="1">
        <v>4.4299999999999999E-2</v>
      </c>
      <c r="Z735" s="1">
        <v>4.3400000000000001E-2</v>
      </c>
      <c r="AA735" s="1">
        <v>7831</v>
      </c>
      <c r="AB735" s="1">
        <v>39</v>
      </c>
      <c r="AC735" s="29">
        <v>1224</v>
      </c>
    </row>
    <row r="736" spans="1:29">
      <c r="A736" s="12">
        <v>52</v>
      </c>
      <c r="B736" s="12" t="s">
        <v>746</v>
      </c>
      <c r="C736" s="12">
        <v>52256</v>
      </c>
      <c r="D736" s="12" t="s">
        <v>761</v>
      </c>
      <c r="E736" s="17">
        <v>0.96520103456383732</v>
      </c>
      <c r="F736" s="17">
        <v>3.4798965436162711E-2</v>
      </c>
      <c r="G736" s="13">
        <v>0.65759567066099733</v>
      </c>
      <c r="H736" s="13">
        <v>27.643097643097644</v>
      </c>
      <c r="I736" s="14">
        <v>9.0486446329758845</v>
      </c>
      <c r="J736" s="16">
        <v>0.42209999999999998</v>
      </c>
      <c r="K736" s="16">
        <v>0.42209999999999998</v>
      </c>
      <c r="L736" s="13">
        <v>0.1406</v>
      </c>
      <c r="M736" s="13">
        <v>2.4299999999999999E-2</v>
      </c>
      <c r="N736" s="13">
        <v>8.5699999999999998E-2</v>
      </c>
      <c r="O736" s="13">
        <v>4.1300000000000003E-2</v>
      </c>
      <c r="P736" s="16">
        <v>0.44520000000000004</v>
      </c>
      <c r="Q736" s="16">
        <v>0.23399999999999999</v>
      </c>
      <c r="R736" s="16">
        <v>0.23399999999999999</v>
      </c>
      <c r="S736" s="16">
        <f t="shared" si="24"/>
        <v>0.3044</v>
      </c>
      <c r="T736" s="18">
        <v>0.42839854780153203</v>
      </c>
      <c r="U736" s="1">
        <v>0</v>
      </c>
      <c r="V736" s="1">
        <f t="shared" si="23"/>
        <v>0</v>
      </c>
      <c r="W736" s="25"/>
      <c r="X736">
        <v>6.7999999999999996E-3</v>
      </c>
      <c r="Y736" s="1">
        <v>2.2599999999999999E-2</v>
      </c>
      <c r="Z736" s="1">
        <v>2.23E-2</v>
      </c>
      <c r="AA736" s="1">
        <v>12872</v>
      </c>
      <c r="AB736" s="1">
        <v>57</v>
      </c>
      <c r="AC736" s="29">
        <v>2305</v>
      </c>
    </row>
    <row r="737" spans="1:29">
      <c r="A737" s="12">
        <v>52</v>
      </c>
      <c r="B737" s="12" t="s">
        <v>746</v>
      </c>
      <c r="C737" s="12">
        <v>52258</v>
      </c>
      <c r="D737" s="12" t="s">
        <v>762</v>
      </c>
      <c r="E737" s="17">
        <v>0.94951140065146578</v>
      </c>
      <c r="F737" s="17">
        <v>5.0488599348534204E-2</v>
      </c>
      <c r="G737" s="13">
        <v>0.97641134375828253</v>
      </c>
      <c r="H737" s="13">
        <v>18.781208053691277</v>
      </c>
      <c r="I737" s="14">
        <v>9.5981166172132628</v>
      </c>
      <c r="J737" s="16">
        <v>0.74150000000000005</v>
      </c>
      <c r="K737" s="16">
        <v>0.74150000000000005</v>
      </c>
      <c r="L737" s="13">
        <v>0.52059999999999995</v>
      </c>
      <c r="M737" s="13">
        <v>1.52E-2</v>
      </c>
      <c r="N737" s="13">
        <v>3.09E-2</v>
      </c>
      <c r="O737" s="13">
        <v>4.1799999999999997E-2</v>
      </c>
      <c r="P737" s="16">
        <v>0.49409999999999998</v>
      </c>
      <c r="Q737" s="16">
        <v>0.35759999999999997</v>
      </c>
      <c r="R737" s="16">
        <v>0.2359</v>
      </c>
      <c r="S737" s="16">
        <f t="shared" si="24"/>
        <v>0.36253333333333332</v>
      </c>
      <c r="T737" s="18">
        <v>1</v>
      </c>
      <c r="U737" s="1">
        <v>10.86956522</v>
      </c>
      <c r="V737" s="1">
        <f t="shared" si="23"/>
        <v>2.4739775794755903</v>
      </c>
      <c r="W737" s="26"/>
      <c r="X737">
        <v>1.77E-2</v>
      </c>
      <c r="Y737" s="1">
        <v>6.2600000000000003E-2</v>
      </c>
      <c r="Z737" s="1">
        <v>6.0699999999999997E-2</v>
      </c>
      <c r="AA737" s="1">
        <v>14671</v>
      </c>
      <c r="AB737" s="1">
        <v>92</v>
      </c>
      <c r="AC737" s="29">
        <v>2647</v>
      </c>
    </row>
    <row r="738" spans="1:29">
      <c r="A738" s="12">
        <v>52</v>
      </c>
      <c r="B738" s="12" t="s">
        <v>746</v>
      </c>
      <c r="C738" s="12">
        <v>52260</v>
      </c>
      <c r="D738" s="12" t="s">
        <v>405</v>
      </c>
      <c r="E738" s="17">
        <v>0.93451791023644348</v>
      </c>
      <c r="F738" s="17">
        <v>6.5411298315163527E-2</v>
      </c>
      <c r="G738" s="13">
        <v>0.94805369127516781</v>
      </c>
      <c r="H738" s="13">
        <v>14.271351351351351</v>
      </c>
      <c r="I738" s="14">
        <v>9.5558431389116638</v>
      </c>
      <c r="J738" s="16">
        <v>0.73219999999999996</v>
      </c>
      <c r="K738" s="16">
        <v>0.73219999999999996</v>
      </c>
      <c r="L738" s="13">
        <v>0.43690000000000001</v>
      </c>
      <c r="M738" s="13">
        <v>1.6899999999999998E-2</v>
      </c>
      <c r="N738" s="13">
        <v>3.4500000000000003E-2</v>
      </c>
      <c r="O738" s="13">
        <v>9.2999999999999992E-3</v>
      </c>
      <c r="P738" s="16">
        <v>0.75120000000000009</v>
      </c>
      <c r="Q738" s="16">
        <v>0.2273</v>
      </c>
      <c r="R738" s="16">
        <v>0.2273</v>
      </c>
      <c r="S738" s="16">
        <f t="shared" si="24"/>
        <v>0.40193333333333342</v>
      </c>
      <c r="T738" s="18">
        <v>0.83540802213001297</v>
      </c>
      <c r="U738" s="1">
        <v>29.850746269999998</v>
      </c>
      <c r="V738" s="1">
        <f t="shared" si="23"/>
        <v>3.4291609403343437</v>
      </c>
      <c r="W738" s="25"/>
      <c r="X738">
        <v>1.26E-2</v>
      </c>
      <c r="Y738" s="1">
        <v>5.8500000000000003E-2</v>
      </c>
      <c r="Z738" s="1">
        <v>5.6899999999999999E-2</v>
      </c>
      <c r="AA738" s="1">
        <v>14548</v>
      </c>
      <c r="AB738" s="1">
        <v>67</v>
      </c>
      <c r="AC738" s="29">
        <v>2348</v>
      </c>
    </row>
    <row r="739" spans="1:29">
      <c r="A739" s="12">
        <v>52</v>
      </c>
      <c r="B739" s="12" t="s">
        <v>746</v>
      </c>
      <c r="C739" s="12">
        <v>52287</v>
      </c>
      <c r="D739" s="12" t="s">
        <v>764</v>
      </c>
      <c r="E739" s="17">
        <v>0.91926345609065152</v>
      </c>
      <c r="F739" s="17">
        <v>8.0736543909348438E-2</v>
      </c>
      <c r="G739" s="13">
        <v>0.93696084936960844</v>
      </c>
      <c r="H739" s="13">
        <v>11.366024518388791</v>
      </c>
      <c r="I739" s="14">
        <v>8.8623419635163465</v>
      </c>
      <c r="J739" s="16">
        <v>0.64039999999999997</v>
      </c>
      <c r="K739" s="16">
        <v>0.64039999999999997</v>
      </c>
      <c r="L739" s="13">
        <v>0.41889999999999999</v>
      </c>
      <c r="M739" s="13">
        <v>7.3000000000000001E-3</v>
      </c>
      <c r="N739" s="13">
        <v>5.11E-2</v>
      </c>
      <c r="O739" s="13">
        <v>1.34E-2</v>
      </c>
      <c r="P739" s="16">
        <v>0.92890000000000006</v>
      </c>
      <c r="Q739" s="16">
        <v>0.51840000000000008</v>
      </c>
      <c r="R739" s="16">
        <v>0.53810000000000002</v>
      </c>
      <c r="S739" s="16">
        <f t="shared" si="24"/>
        <v>0.66180000000000005</v>
      </c>
      <c r="T739" s="18">
        <v>0.64722891566265006</v>
      </c>
      <c r="U739" s="1">
        <v>35.714285709999999</v>
      </c>
      <c r="V739" s="1">
        <f t="shared" si="23"/>
        <v>3.6031659357231751</v>
      </c>
      <c r="W739" s="25"/>
      <c r="X739">
        <v>4.5699999999999998E-2</v>
      </c>
      <c r="Y739" s="1">
        <v>0.1399</v>
      </c>
      <c r="Z739" s="1">
        <v>0.13089999999999999</v>
      </c>
      <c r="AA739" s="1">
        <v>7441</v>
      </c>
      <c r="AB739" s="1">
        <v>28</v>
      </c>
      <c r="AC739" s="29">
        <v>1294</v>
      </c>
    </row>
    <row r="740" spans="1:29">
      <c r="A740" s="12">
        <v>52</v>
      </c>
      <c r="B740" s="12" t="s">
        <v>746</v>
      </c>
      <c r="C740" s="12">
        <v>52317</v>
      </c>
      <c r="D740" s="12" t="s">
        <v>765</v>
      </c>
      <c r="E740" s="17">
        <v>0.90746877389752745</v>
      </c>
      <c r="F740" s="17">
        <v>9.2531226102472594E-2</v>
      </c>
      <c r="G740" s="13">
        <v>0.95841884100459296</v>
      </c>
      <c r="H740" s="13">
        <v>9.8017621145374445</v>
      </c>
      <c r="I740" s="14">
        <v>9.8841008387359377</v>
      </c>
      <c r="J740" s="16">
        <v>0.8105</v>
      </c>
      <c r="K740" s="16">
        <v>0.8105</v>
      </c>
      <c r="L740" s="13">
        <v>0.61550000000000005</v>
      </c>
      <c r="M740" s="13">
        <v>7.1000000000000004E-3</v>
      </c>
      <c r="N740" s="13">
        <v>7.3499999999999996E-2</v>
      </c>
      <c r="O740" s="13">
        <v>8.48E-2</v>
      </c>
      <c r="P740" s="16">
        <v>0.75290000000000001</v>
      </c>
      <c r="Q740" s="16">
        <v>0.17350000000000002</v>
      </c>
      <c r="R740" s="16">
        <v>0.1115</v>
      </c>
      <c r="S740" s="16">
        <f t="shared" si="24"/>
        <v>0.3459666666666667</v>
      </c>
      <c r="T740" s="18">
        <v>0.94269498352251901</v>
      </c>
      <c r="U740" s="1">
        <v>0</v>
      </c>
      <c r="V740" s="1">
        <f t="shared" si="23"/>
        <v>0</v>
      </c>
      <c r="W740" s="26"/>
      <c r="X740">
        <v>1.8499999999999999E-2</v>
      </c>
      <c r="Y740" s="1">
        <v>0.34699999999999998</v>
      </c>
      <c r="Z740" s="1">
        <v>0.2979</v>
      </c>
      <c r="AA740" s="1">
        <v>20468</v>
      </c>
      <c r="AB740" s="1">
        <v>105</v>
      </c>
      <c r="AC740" s="29">
        <v>3161</v>
      </c>
    </row>
    <row r="741" spans="1:29">
      <c r="A741" s="12">
        <v>52</v>
      </c>
      <c r="B741" s="12" t="s">
        <v>746</v>
      </c>
      <c r="C741" s="12">
        <v>52320</v>
      </c>
      <c r="D741" s="12" t="s">
        <v>766</v>
      </c>
      <c r="E741" s="17">
        <v>0.95104079933388841</v>
      </c>
      <c r="F741" s="17">
        <v>4.8959200666111577E-2</v>
      </c>
      <c r="G741" s="13">
        <v>1.0016680567139282</v>
      </c>
      <c r="H741" s="13">
        <v>19.392190152801358</v>
      </c>
      <c r="I741" s="14">
        <v>9.3935781755544898</v>
      </c>
      <c r="J741" s="16">
        <v>0.69810000000000005</v>
      </c>
      <c r="K741" s="16">
        <v>0.69810000000000005</v>
      </c>
      <c r="L741" s="13">
        <v>0.43959999999999999</v>
      </c>
      <c r="M741" s="13">
        <v>1.5E-3</v>
      </c>
      <c r="N741" s="13">
        <v>4.3099999999999999E-2</v>
      </c>
      <c r="O741" s="13">
        <v>6.7999999999999996E-3</v>
      </c>
      <c r="P741" s="16">
        <v>1</v>
      </c>
      <c r="Q741" s="16">
        <v>0.4229</v>
      </c>
      <c r="R741" s="16">
        <v>1</v>
      </c>
      <c r="S741" s="16">
        <f t="shared" si="24"/>
        <v>0.80763333333333343</v>
      </c>
      <c r="T741" s="18">
        <v>0.75498891352549802</v>
      </c>
      <c r="U741" s="1">
        <v>0</v>
      </c>
      <c r="V741" s="1">
        <f t="shared" si="23"/>
        <v>0</v>
      </c>
      <c r="W741" s="25"/>
      <c r="X741">
        <v>7.9699999999999993E-2</v>
      </c>
      <c r="Y741" s="1">
        <v>0.2409</v>
      </c>
      <c r="Z741" s="1">
        <v>0.21579999999999999</v>
      </c>
      <c r="AA741" s="1">
        <v>11604</v>
      </c>
      <c r="AB741" s="1">
        <v>68</v>
      </c>
      <c r="AC741" s="29">
        <v>1881</v>
      </c>
    </row>
    <row r="742" spans="1:29">
      <c r="A742" s="12">
        <v>52</v>
      </c>
      <c r="B742" s="12" t="s">
        <v>746</v>
      </c>
      <c r="C742" s="12">
        <v>52323</v>
      </c>
      <c r="D742" s="12" t="s">
        <v>767</v>
      </c>
      <c r="E742" s="17">
        <v>0.92799493590758031</v>
      </c>
      <c r="F742" s="17">
        <v>7.2005064092419691E-2</v>
      </c>
      <c r="G742" s="13">
        <v>0.85414977020816441</v>
      </c>
      <c r="H742" s="13">
        <v>12.859649122807017</v>
      </c>
      <c r="I742" s="14">
        <v>8.7514744871409036</v>
      </c>
      <c r="J742" s="16">
        <v>0.90590000000000004</v>
      </c>
      <c r="K742" s="16">
        <v>0.90590000000000004</v>
      </c>
      <c r="L742" s="13">
        <v>0.68779999999999997</v>
      </c>
      <c r="M742" s="13">
        <v>1.7299999999999999E-2</v>
      </c>
      <c r="N742" s="13">
        <v>4.1700000000000001E-2</v>
      </c>
      <c r="O742" s="13">
        <v>3.9699999999999999E-2</v>
      </c>
      <c r="P742" s="16">
        <v>1</v>
      </c>
      <c r="Q742" s="16">
        <v>0.61560000000000004</v>
      </c>
      <c r="R742" s="16">
        <v>0.45390000000000003</v>
      </c>
      <c r="S742" s="16">
        <f t="shared" si="24"/>
        <v>0.68983333333333341</v>
      </c>
      <c r="T742" s="18">
        <v>0.88937500000000003</v>
      </c>
      <c r="U742" s="1">
        <v>0</v>
      </c>
      <c r="V742" s="1">
        <f t="shared" si="23"/>
        <v>0</v>
      </c>
      <c r="W742" s="26"/>
      <c r="X742">
        <v>2.1000000000000001E-2</v>
      </c>
      <c r="Y742" s="1">
        <v>0.61109999999999998</v>
      </c>
      <c r="Z742" s="1">
        <v>0.47689999999999999</v>
      </c>
      <c r="AA742" s="1">
        <v>7609</v>
      </c>
      <c r="AB742" s="1">
        <v>28</v>
      </c>
      <c r="AC742" s="29">
        <v>1161</v>
      </c>
    </row>
    <row r="743" spans="1:29">
      <c r="A743" s="12">
        <v>52</v>
      </c>
      <c r="B743" s="12" t="s">
        <v>746</v>
      </c>
      <c r="C743" s="12">
        <v>52352</v>
      </c>
      <c r="D743" s="12" t="s">
        <v>768</v>
      </c>
      <c r="E743" s="17">
        <v>0.9429186178964688</v>
      </c>
      <c r="F743" s="17">
        <v>5.7081382103531197E-2</v>
      </c>
      <c r="G743" s="13">
        <v>0.98824265165728575</v>
      </c>
      <c r="H743" s="13">
        <v>16.482300884955752</v>
      </c>
      <c r="I743" s="14">
        <v>8.9748711709713369</v>
      </c>
      <c r="J743" s="16">
        <v>0.75619999999999998</v>
      </c>
      <c r="K743" s="16">
        <v>0.75619999999999998</v>
      </c>
      <c r="L743" s="13">
        <v>0.51600000000000001</v>
      </c>
      <c r="M743" s="13">
        <v>1.9E-2</v>
      </c>
      <c r="N743" s="13">
        <v>8.3599999999999994E-2</v>
      </c>
      <c r="O743" s="13">
        <v>7.3200000000000001E-2</v>
      </c>
      <c r="P743" s="16">
        <v>0.99080000000000001</v>
      </c>
      <c r="Q743" s="16">
        <v>0.70010000000000006</v>
      </c>
      <c r="R743" s="16">
        <v>0.69830000000000003</v>
      </c>
      <c r="S743" s="16">
        <f t="shared" si="24"/>
        <v>0.79640000000000011</v>
      </c>
      <c r="T743" s="18">
        <v>0.79440258342303494</v>
      </c>
      <c r="U743" s="1">
        <v>0</v>
      </c>
      <c r="V743" s="1">
        <f t="shared" si="23"/>
        <v>0</v>
      </c>
      <c r="W743" s="25"/>
      <c r="X743">
        <v>0.2175</v>
      </c>
      <c r="Y743" s="1">
        <v>0.47320000000000001</v>
      </c>
      <c r="Z743" s="1">
        <v>0.38740000000000002</v>
      </c>
      <c r="AA743" s="1">
        <v>7678</v>
      </c>
      <c r="AB743" s="1">
        <v>45</v>
      </c>
      <c r="AC743" s="29">
        <v>1393</v>
      </c>
    </row>
    <row r="744" spans="1:29">
      <c r="A744" s="12">
        <v>52</v>
      </c>
      <c r="B744" s="12" t="s">
        <v>746</v>
      </c>
      <c r="C744" s="12">
        <v>52354</v>
      </c>
      <c r="D744" s="12" t="s">
        <v>769</v>
      </c>
      <c r="E744" s="17">
        <v>0.92002489497432705</v>
      </c>
      <c r="F744" s="17">
        <v>7.9975105025672941E-2</v>
      </c>
      <c r="G744" s="13">
        <v>0.80397798348761573</v>
      </c>
      <c r="H744" s="13">
        <v>11.481553398058253</v>
      </c>
      <c r="I744" s="14">
        <v>8.7684187268574032</v>
      </c>
      <c r="J744" s="16">
        <v>0.77939999999999998</v>
      </c>
      <c r="K744" s="16">
        <v>0.77939999999999998</v>
      </c>
      <c r="L744" s="13">
        <v>0.47339999999999999</v>
      </c>
      <c r="M744" s="13">
        <v>4.4000000000000003E-3</v>
      </c>
      <c r="N744" s="13">
        <v>4.4200000000000003E-2</v>
      </c>
      <c r="O744" s="13">
        <v>2.98E-2</v>
      </c>
      <c r="P744" s="16">
        <v>0.56619999999999993</v>
      </c>
      <c r="Q744" s="16">
        <v>0.19329999999999997</v>
      </c>
      <c r="R744" s="16">
        <v>0.37070000000000003</v>
      </c>
      <c r="S744" s="16">
        <f t="shared" si="24"/>
        <v>0.37673333333333331</v>
      </c>
      <c r="T744" s="18">
        <v>0.72279371954520799</v>
      </c>
      <c r="U744" s="1">
        <v>24.390243900000002</v>
      </c>
      <c r="V744" s="1">
        <f t="shared" si="23"/>
        <v>3.2343650018145995</v>
      </c>
      <c r="W744" s="26"/>
      <c r="X744">
        <v>0.1326</v>
      </c>
      <c r="Y744" s="1">
        <v>0.45119999999999999</v>
      </c>
      <c r="Z744" s="1">
        <v>0.37240000000000001</v>
      </c>
      <c r="AA744" s="1">
        <v>7836</v>
      </c>
      <c r="AB744" s="1">
        <v>41</v>
      </c>
      <c r="AC744" s="29">
        <v>1195</v>
      </c>
    </row>
    <row r="745" spans="1:29">
      <c r="A745" s="12">
        <v>52</v>
      </c>
      <c r="B745" s="12" t="s">
        <v>746</v>
      </c>
      <c r="C745" s="12">
        <v>52356</v>
      </c>
      <c r="D745" s="12" t="s">
        <v>770</v>
      </c>
      <c r="E745" s="17">
        <v>0.79834788999123774</v>
      </c>
      <c r="F745" s="17">
        <v>0.20165211000876226</v>
      </c>
      <c r="G745" s="13">
        <v>1</v>
      </c>
      <c r="H745" s="13">
        <v>3.9588969093839794</v>
      </c>
      <c r="I745" s="14">
        <v>11.860175130191793</v>
      </c>
      <c r="J745" s="16">
        <v>0.998</v>
      </c>
      <c r="K745" s="16">
        <v>0.99770000000000003</v>
      </c>
      <c r="L745" s="13">
        <v>0.5746</v>
      </c>
      <c r="M745" s="13">
        <v>2.4799999999999999E-2</v>
      </c>
      <c r="N745" s="13">
        <v>0.1037</v>
      </c>
      <c r="O745" s="13">
        <v>1.7100000000000001E-2</v>
      </c>
      <c r="P745" s="16">
        <v>0.93720000000000003</v>
      </c>
      <c r="Q745" s="16">
        <v>0.70140000000000002</v>
      </c>
      <c r="R745" s="16">
        <v>0.7026</v>
      </c>
      <c r="S745" s="16">
        <f t="shared" si="24"/>
        <v>0.78040000000000009</v>
      </c>
      <c r="T745" s="18">
        <v>1</v>
      </c>
      <c r="U745" s="1">
        <v>9.7192224619999994</v>
      </c>
      <c r="V745" s="1">
        <f t="shared" si="23"/>
        <v>2.3720386214822664</v>
      </c>
      <c r="W745" s="25"/>
      <c r="X745">
        <v>0.1095</v>
      </c>
      <c r="Y745" s="1">
        <v>0.4244</v>
      </c>
      <c r="Z745" s="1">
        <v>0.3538</v>
      </c>
      <c r="AA745" s="1">
        <v>121440</v>
      </c>
      <c r="AB745" s="1">
        <v>926</v>
      </c>
      <c r="AC745" s="29">
        <v>22242</v>
      </c>
    </row>
    <row r="746" spans="1:29">
      <c r="A746" s="12">
        <v>52</v>
      </c>
      <c r="B746" s="12" t="s">
        <v>746</v>
      </c>
      <c r="C746" s="12">
        <v>52378</v>
      </c>
      <c r="D746" s="12" t="s">
        <v>771</v>
      </c>
      <c r="E746" s="17">
        <v>0.93025414877567603</v>
      </c>
      <c r="F746" s="17">
        <v>6.9687826389694785E-2</v>
      </c>
      <c r="G746" s="13">
        <v>0.88252765260139288</v>
      </c>
      <c r="H746" s="13">
        <v>13.337770382695508</v>
      </c>
      <c r="I746" s="14">
        <v>9.7546974789509662</v>
      </c>
      <c r="J746" s="16">
        <v>0.76980000000000004</v>
      </c>
      <c r="K746" s="16">
        <v>0.76949999999999996</v>
      </c>
      <c r="L746" s="13">
        <v>0.52669999999999995</v>
      </c>
      <c r="M746" s="13">
        <v>1.52E-2</v>
      </c>
      <c r="N746" s="13">
        <v>6.5000000000000002E-2</v>
      </c>
      <c r="O746" s="13">
        <v>1.6899999999999998E-2</v>
      </c>
      <c r="P746" s="16">
        <v>0.39679999999999999</v>
      </c>
      <c r="Q746" s="16">
        <v>0.2591</v>
      </c>
      <c r="R746" s="16">
        <v>0.2591</v>
      </c>
      <c r="S746" s="16">
        <f t="shared" si="24"/>
        <v>0.30499999999999999</v>
      </c>
      <c r="T746" s="18">
        <v>0.83197389885807493</v>
      </c>
      <c r="U746" s="1">
        <v>19.047619050000002</v>
      </c>
      <c r="V746" s="1">
        <f t="shared" si="23"/>
        <v>2.9981103960777236</v>
      </c>
      <c r="W746" s="26"/>
      <c r="X746">
        <v>1.44E-2</v>
      </c>
      <c r="Y746" s="1">
        <v>0.24809999999999999</v>
      </c>
      <c r="Z746" s="1">
        <v>0.22159999999999999</v>
      </c>
      <c r="AA746" s="1">
        <v>19560</v>
      </c>
      <c r="AB746" s="1">
        <v>105</v>
      </c>
      <c r="AC746" s="29">
        <v>3055</v>
      </c>
    </row>
    <row r="747" spans="1:29">
      <c r="A747" s="12">
        <v>52</v>
      </c>
      <c r="B747" s="12" t="s">
        <v>746</v>
      </c>
      <c r="C747" s="12">
        <v>52381</v>
      </c>
      <c r="D747" s="12" t="s">
        <v>772</v>
      </c>
      <c r="E747" s="17">
        <v>0.94256937747776703</v>
      </c>
      <c r="F747" s="17">
        <v>5.7430622522232938E-2</v>
      </c>
      <c r="G747" s="13">
        <v>0.88750475465956635</v>
      </c>
      <c r="H747" s="13">
        <v>16.381750465549349</v>
      </c>
      <c r="I747" s="14">
        <v>9.1414189265097612</v>
      </c>
      <c r="J747" s="16">
        <v>0.78120000000000001</v>
      </c>
      <c r="K747" s="16">
        <v>0.78120000000000001</v>
      </c>
      <c r="L747" s="13">
        <v>0.56179999999999997</v>
      </c>
      <c r="M747" s="13">
        <v>1.7100000000000001E-2</v>
      </c>
      <c r="N747" s="13">
        <v>4.8800000000000003E-2</v>
      </c>
      <c r="O747" s="13">
        <v>4.4499999999999998E-2</v>
      </c>
      <c r="P747" s="16">
        <v>1</v>
      </c>
      <c r="Q747" s="16">
        <v>0.1467</v>
      </c>
      <c r="R747" s="16">
        <v>0.1467</v>
      </c>
      <c r="S747" s="16">
        <f t="shared" si="24"/>
        <v>0.43113333333333337</v>
      </c>
      <c r="T747" s="18">
        <v>0.83034513670999499</v>
      </c>
      <c r="U747" s="1">
        <v>0</v>
      </c>
      <c r="V747" s="1">
        <f t="shared" si="23"/>
        <v>0</v>
      </c>
      <c r="W747" s="25"/>
      <c r="X747">
        <v>1.7100000000000001E-2</v>
      </c>
      <c r="Y747" s="1">
        <v>0.18529999999999999</v>
      </c>
      <c r="Z747" s="1">
        <v>0.17</v>
      </c>
      <c r="AA747" s="1">
        <v>10098</v>
      </c>
      <c r="AB747" s="1">
        <v>67</v>
      </c>
      <c r="AC747" s="29">
        <v>1535</v>
      </c>
    </row>
    <row r="748" spans="1:29">
      <c r="A748" s="12">
        <v>52</v>
      </c>
      <c r="B748" s="12" t="s">
        <v>746</v>
      </c>
      <c r="C748" s="12">
        <v>52385</v>
      </c>
      <c r="D748" s="12" t="s">
        <v>773</v>
      </c>
      <c r="E748" s="17">
        <v>0.94735808289137691</v>
      </c>
      <c r="F748" s="17">
        <v>5.2641917108623058E-2</v>
      </c>
      <c r="G748" s="13">
        <v>0.76178363010623973</v>
      </c>
      <c r="H748" s="13">
        <v>17.929368029739777</v>
      </c>
      <c r="I748" s="14">
        <v>8.5354259596772977</v>
      </c>
      <c r="J748" s="16">
        <v>0.72770000000000001</v>
      </c>
      <c r="K748" s="16">
        <v>0.72770000000000001</v>
      </c>
      <c r="L748" s="13">
        <v>0.43240000000000001</v>
      </c>
      <c r="M748" s="13">
        <v>2.58E-2</v>
      </c>
      <c r="N748" s="13">
        <v>2.58E-2</v>
      </c>
      <c r="O748" s="13">
        <v>4.9299999999999997E-2</v>
      </c>
      <c r="P748" s="16">
        <v>0.40350000000000003</v>
      </c>
      <c r="Q748" s="16">
        <v>0.40350000000000003</v>
      </c>
      <c r="R748" s="16">
        <v>0.40350000000000003</v>
      </c>
      <c r="S748" s="16">
        <f t="shared" si="24"/>
        <v>0.40350000000000003</v>
      </c>
      <c r="T748" s="18">
        <v>0.56679389312977102</v>
      </c>
      <c r="U748" s="1">
        <v>0</v>
      </c>
      <c r="V748" s="1">
        <f t="shared" si="23"/>
        <v>0</v>
      </c>
      <c r="W748" s="26"/>
      <c r="X748">
        <v>2.12E-2</v>
      </c>
      <c r="Y748" s="1">
        <v>4.5400000000000003E-2</v>
      </c>
      <c r="Z748" s="1">
        <v>4.4400000000000002E-2</v>
      </c>
      <c r="AA748" s="1">
        <v>6565</v>
      </c>
      <c r="AB748" s="1">
        <v>48</v>
      </c>
      <c r="AC748" s="29">
        <v>1239</v>
      </c>
    </row>
    <row r="749" spans="1:29">
      <c r="A749" s="12">
        <v>52</v>
      </c>
      <c r="B749" s="12" t="s">
        <v>746</v>
      </c>
      <c r="C749" s="12">
        <v>52390</v>
      </c>
      <c r="D749" s="12" t="s">
        <v>774</v>
      </c>
      <c r="E749" s="17">
        <v>0.96894218942189425</v>
      </c>
      <c r="F749" s="17">
        <v>3.105781057810578E-2</v>
      </c>
      <c r="G749" s="13">
        <v>0.84368919444804769</v>
      </c>
      <c r="H749" s="13">
        <v>31.044334975369459</v>
      </c>
      <c r="I749" s="14">
        <v>8.7803263909466054</v>
      </c>
      <c r="J749" s="16">
        <v>0.68979999999999997</v>
      </c>
      <c r="K749" s="16">
        <v>0.68979999999999997</v>
      </c>
      <c r="L749" s="13">
        <v>0.2727</v>
      </c>
      <c r="M749" s="13">
        <v>3.5999999999999997E-2</v>
      </c>
      <c r="N749" s="13">
        <v>7.8100000000000003E-2</v>
      </c>
      <c r="O749" s="13">
        <v>0</v>
      </c>
      <c r="P749" s="16">
        <v>0.91930000000000012</v>
      </c>
      <c r="Q749" s="16">
        <v>0.91930000000000012</v>
      </c>
      <c r="R749" s="16">
        <v>0.91930000000000012</v>
      </c>
      <c r="S749" s="16">
        <f t="shared" si="24"/>
        <v>0.91930000000000012</v>
      </c>
      <c r="T749" s="18">
        <v>1</v>
      </c>
      <c r="U749" s="1">
        <v>46.15384615</v>
      </c>
      <c r="V749" s="1">
        <f t="shared" si="23"/>
        <v>3.8534155783931086</v>
      </c>
      <c r="W749" s="25"/>
      <c r="X749">
        <v>8.8000000000000005E-3</v>
      </c>
      <c r="Y749" s="1">
        <v>7.7999999999999996E-3</v>
      </c>
      <c r="Z749" s="1">
        <v>7.7999999999999996E-3</v>
      </c>
      <c r="AA749" s="1">
        <v>7838</v>
      </c>
      <c r="AB749" s="1">
        <v>65</v>
      </c>
      <c r="AC749" s="29">
        <v>2323</v>
      </c>
    </row>
    <row r="750" spans="1:29">
      <c r="A750" s="12">
        <v>52</v>
      </c>
      <c r="B750" s="12" t="s">
        <v>746</v>
      </c>
      <c r="C750" s="12">
        <v>52399</v>
      </c>
      <c r="D750" s="12" t="s">
        <v>77</v>
      </c>
      <c r="E750" s="17">
        <v>0.88046522260959026</v>
      </c>
      <c r="F750" s="17">
        <v>0.11950620106303937</v>
      </c>
      <c r="G750" s="13">
        <v>1</v>
      </c>
      <c r="H750" s="13">
        <v>7.3657661965096821</v>
      </c>
      <c r="I750" s="14">
        <v>10.462960473123641</v>
      </c>
      <c r="J750" s="16">
        <v>0.86660000000000004</v>
      </c>
      <c r="K750" s="16">
        <v>0.86660000000000004</v>
      </c>
      <c r="L750" s="13">
        <v>0.55920000000000003</v>
      </c>
      <c r="M750" s="13">
        <v>1.5900000000000001E-2</v>
      </c>
      <c r="N750" s="13">
        <v>5.5500000000000001E-2</v>
      </c>
      <c r="O750" s="13">
        <v>4.0300000000000002E-2</v>
      </c>
      <c r="P750" s="16">
        <v>1</v>
      </c>
      <c r="Q750" s="16">
        <v>0.48670000000000002</v>
      </c>
      <c r="R750" s="16">
        <v>0.30109999999999998</v>
      </c>
      <c r="S750" s="16">
        <f t="shared" si="24"/>
        <v>0.59593333333333331</v>
      </c>
      <c r="T750" s="18">
        <v>1</v>
      </c>
      <c r="U750" s="1">
        <v>8.9686098649999995</v>
      </c>
      <c r="V750" s="1">
        <f t="shared" si="23"/>
        <v>2.2994411424568444</v>
      </c>
      <c r="W750" s="26"/>
      <c r="X750">
        <v>3.5700000000000003E-2</v>
      </c>
      <c r="Y750" s="1">
        <v>0.32479999999999998</v>
      </c>
      <c r="Z750" s="1">
        <v>0.28120000000000001</v>
      </c>
      <c r="AA750" s="1">
        <v>34338</v>
      </c>
      <c r="AB750" s="1">
        <v>223</v>
      </c>
      <c r="AC750" s="29">
        <v>5679</v>
      </c>
    </row>
    <row r="751" spans="1:29">
      <c r="A751" s="12">
        <v>52</v>
      </c>
      <c r="B751" s="12" t="s">
        <v>746</v>
      </c>
      <c r="C751" s="12">
        <v>52405</v>
      </c>
      <c r="D751" s="12" t="s">
        <v>775</v>
      </c>
      <c r="E751" s="17">
        <v>0.97247797247797252</v>
      </c>
      <c r="F751" s="17">
        <v>2.7522027522027523E-2</v>
      </c>
      <c r="G751" s="13">
        <v>0.98961497011854604</v>
      </c>
      <c r="H751" s="13">
        <v>35.207885304659499</v>
      </c>
      <c r="I751" s="14">
        <v>9.2204887030279981</v>
      </c>
      <c r="J751" s="16">
        <v>0.7258</v>
      </c>
      <c r="K751" s="16">
        <v>0.7258</v>
      </c>
      <c r="L751" s="13">
        <v>0.34570000000000001</v>
      </c>
      <c r="M751" s="13">
        <v>3.73E-2</v>
      </c>
      <c r="N751" s="13">
        <v>5.4399999999999997E-2</v>
      </c>
      <c r="O751" s="13">
        <v>3.6700000000000003E-2</v>
      </c>
      <c r="P751" s="16">
        <v>0.3342</v>
      </c>
      <c r="Q751" s="16">
        <v>0.3342</v>
      </c>
      <c r="R751" s="16">
        <v>0.3342</v>
      </c>
      <c r="S751" s="16">
        <f t="shared" si="24"/>
        <v>0.3342</v>
      </c>
      <c r="T751" s="18">
        <v>0.63795568263044999</v>
      </c>
      <c r="U751" s="1">
        <v>0</v>
      </c>
      <c r="V751" s="1">
        <f t="shared" si="23"/>
        <v>0</v>
      </c>
      <c r="W751" s="25"/>
      <c r="X751">
        <v>1.4999999999999999E-2</v>
      </c>
      <c r="Y751" s="1">
        <v>1.5800000000000002E-2</v>
      </c>
      <c r="Z751" s="1">
        <v>1.5599999999999999E-2</v>
      </c>
      <c r="AA751" s="1">
        <v>9779</v>
      </c>
      <c r="AB751" s="1">
        <v>65</v>
      </c>
      <c r="AC751" s="29">
        <v>2057</v>
      </c>
    </row>
    <row r="752" spans="1:29">
      <c r="A752" s="12">
        <v>52</v>
      </c>
      <c r="B752" s="12" t="s">
        <v>746</v>
      </c>
      <c r="C752" s="12">
        <v>52411</v>
      </c>
      <c r="D752" s="12" t="s">
        <v>776</v>
      </c>
      <c r="E752" s="17">
        <v>0.94813776531838201</v>
      </c>
      <c r="F752" s="17">
        <v>5.1862234681617943E-2</v>
      </c>
      <c r="G752" s="13">
        <v>0.94297583081571001</v>
      </c>
      <c r="H752" s="13">
        <v>18.246628131021193</v>
      </c>
      <c r="I752" s="14">
        <v>9.2092397665321499</v>
      </c>
      <c r="J752" s="16">
        <v>0.68589999999999995</v>
      </c>
      <c r="K752" s="16">
        <v>0.68589999999999995</v>
      </c>
      <c r="L752" s="13">
        <v>0.45929999999999999</v>
      </c>
      <c r="M752" s="13">
        <v>2.3699999999999999E-2</v>
      </c>
      <c r="N752" s="13">
        <v>4.7300000000000002E-2</v>
      </c>
      <c r="O752" s="13">
        <v>7.0099999999999996E-2</v>
      </c>
      <c r="P752" s="16">
        <v>0.66090000000000004</v>
      </c>
      <c r="Q752" s="16">
        <v>0.87629999999999997</v>
      </c>
      <c r="R752" s="16">
        <v>0.2208</v>
      </c>
      <c r="S752" s="16">
        <f t="shared" si="24"/>
        <v>0.58599999999999997</v>
      </c>
      <c r="T752" s="18">
        <v>0.93904928550597799</v>
      </c>
      <c r="U752" s="1">
        <v>0</v>
      </c>
      <c r="V752" s="1">
        <f t="shared" si="23"/>
        <v>0</v>
      </c>
      <c r="W752" s="26"/>
      <c r="X752">
        <v>4.24E-2</v>
      </c>
      <c r="Y752" s="1">
        <v>0.17799999999999999</v>
      </c>
      <c r="Z752" s="1">
        <v>0.1638</v>
      </c>
      <c r="AA752" s="1">
        <v>10242</v>
      </c>
      <c r="AB752" s="1">
        <v>41</v>
      </c>
      <c r="AC752" s="29">
        <v>1572</v>
      </c>
    </row>
    <row r="753" spans="1:29">
      <c r="A753" s="12">
        <v>52</v>
      </c>
      <c r="B753" s="12" t="s">
        <v>746</v>
      </c>
      <c r="C753" s="12">
        <v>52418</v>
      </c>
      <c r="D753" s="12" t="s">
        <v>777</v>
      </c>
      <c r="E753" s="17">
        <v>0.95588380108321025</v>
      </c>
      <c r="F753" s="17">
        <v>4.4116198916789758E-2</v>
      </c>
      <c r="G753" s="13">
        <v>1</v>
      </c>
      <c r="H753" s="13">
        <v>21.619153674832962</v>
      </c>
      <c r="I753" s="14">
        <v>9.2258199428245682</v>
      </c>
      <c r="J753" s="16">
        <v>0.80310000000000004</v>
      </c>
      <c r="K753" s="16">
        <v>0.80310000000000004</v>
      </c>
      <c r="L753" s="13">
        <v>0.48259999999999997</v>
      </c>
      <c r="M753" s="13">
        <v>2.6100000000000002E-2</v>
      </c>
      <c r="N753" s="13">
        <v>4.1599999999999998E-2</v>
      </c>
      <c r="O753" s="13">
        <v>0.05</v>
      </c>
      <c r="P753" s="16">
        <v>0.59140000000000004</v>
      </c>
      <c r="Q753" s="16">
        <v>0.59140000000000004</v>
      </c>
      <c r="R753" s="16">
        <v>1</v>
      </c>
      <c r="S753" s="16">
        <f t="shared" si="24"/>
        <v>0.72760000000000014</v>
      </c>
      <c r="T753" s="18">
        <v>0.89179548156956001</v>
      </c>
      <c r="U753" s="1">
        <v>16.129032259999999</v>
      </c>
      <c r="V753" s="1">
        <f t="shared" si="23"/>
        <v>2.8407748168697871</v>
      </c>
      <c r="W753" s="25"/>
      <c r="X753">
        <v>2.7400000000000001E-2</v>
      </c>
      <c r="Y753" s="1">
        <v>9.1999999999999998E-3</v>
      </c>
      <c r="Z753" s="1">
        <v>9.1000000000000004E-3</v>
      </c>
      <c r="AA753" s="1">
        <v>9553</v>
      </c>
      <c r="AB753" s="1">
        <v>62</v>
      </c>
      <c r="AC753" s="29">
        <v>1755</v>
      </c>
    </row>
    <row r="754" spans="1:29">
      <c r="A754" s="12">
        <v>52</v>
      </c>
      <c r="B754" s="12" t="s">
        <v>746</v>
      </c>
      <c r="C754" s="12">
        <v>52427</v>
      </c>
      <c r="D754" s="12" t="s">
        <v>778</v>
      </c>
      <c r="E754" s="17">
        <v>0.97177280550774525</v>
      </c>
      <c r="F754" s="17">
        <v>2.8227194492254734E-2</v>
      </c>
      <c r="G754" s="13">
        <v>0.33335883410473166</v>
      </c>
      <c r="H754" s="13">
        <v>34.287449392712553</v>
      </c>
      <c r="I754" s="14">
        <v>9.072915696064511</v>
      </c>
      <c r="J754" s="16">
        <v>0.29409999999999997</v>
      </c>
      <c r="K754" s="16">
        <v>0.29409999999999997</v>
      </c>
      <c r="L754" s="13">
        <v>4.8099999999999997E-2</v>
      </c>
      <c r="M754" s="13">
        <v>3.61E-2</v>
      </c>
      <c r="N754" s="13">
        <v>0.12379999999999999</v>
      </c>
      <c r="O754" s="13">
        <v>4.0899999999999999E-2</v>
      </c>
      <c r="P754" s="16">
        <v>0.64599999999999991</v>
      </c>
      <c r="Q754" s="16">
        <v>0.64599999999999991</v>
      </c>
      <c r="R754" s="16">
        <v>0.34600000000000003</v>
      </c>
      <c r="S754" s="16">
        <f t="shared" si="24"/>
        <v>0.54599999999999993</v>
      </c>
      <c r="T754" s="18">
        <v>1</v>
      </c>
      <c r="U754" s="1">
        <v>26.666666670000001</v>
      </c>
      <c r="V754" s="1">
        <f t="shared" si="23"/>
        <v>3.3202283192489701</v>
      </c>
      <c r="W754" s="26"/>
      <c r="X754">
        <v>1.8E-3</v>
      </c>
      <c r="Y754" s="1">
        <v>1.9E-3</v>
      </c>
      <c r="Z754" s="1">
        <v>1.9E-3</v>
      </c>
      <c r="AA754" s="1">
        <v>27970</v>
      </c>
      <c r="AB754" s="1">
        <v>75</v>
      </c>
      <c r="AC754" s="29">
        <v>8370</v>
      </c>
    </row>
    <row r="755" spans="1:29">
      <c r="A755" s="12">
        <v>52</v>
      </c>
      <c r="B755" s="12" t="s">
        <v>746</v>
      </c>
      <c r="C755" s="12">
        <v>52435</v>
      </c>
      <c r="D755" s="12" t="s">
        <v>779</v>
      </c>
      <c r="E755" s="17">
        <v>0.93829992755373093</v>
      </c>
      <c r="F755" s="17">
        <v>6.1700072446269016E-2</v>
      </c>
      <c r="G755" s="13">
        <v>0.87733050847457628</v>
      </c>
      <c r="H755" s="13">
        <v>15.177734375</v>
      </c>
      <c r="I755" s="14">
        <v>9.0219605005982633</v>
      </c>
      <c r="J755" s="16">
        <v>0.74770000000000003</v>
      </c>
      <c r="K755" s="16">
        <v>0.74770000000000003</v>
      </c>
      <c r="L755" s="13">
        <v>0.40739999999999998</v>
      </c>
      <c r="M755" s="13">
        <v>2.8799999999999999E-2</v>
      </c>
      <c r="N755" s="13">
        <v>6.6100000000000006E-2</v>
      </c>
      <c r="O755" s="13">
        <v>3.6600000000000001E-2</v>
      </c>
      <c r="P755" s="16">
        <v>0.13289999999999999</v>
      </c>
      <c r="Q755" s="16">
        <v>0.13289999999999999</v>
      </c>
      <c r="R755" s="16">
        <v>0.13289999999999999</v>
      </c>
      <c r="S755" s="16">
        <f t="shared" si="24"/>
        <v>0.13289999999999999</v>
      </c>
      <c r="T755" s="18">
        <v>0.85004932587964399</v>
      </c>
      <c r="U755" s="1">
        <v>0</v>
      </c>
      <c r="V755" s="1">
        <f t="shared" si="23"/>
        <v>0</v>
      </c>
      <c r="W755" s="25"/>
      <c r="X755">
        <v>2.98E-2</v>
      </c>
      <c r="Y755" s="1">
        <v>1.9E-2</v>
      </c>
      <c r="Z755" s="1">
        <v>1.8800000000000001E-2</v>
      </c>
      <c r="AA755" s="1">
        <v>8934</v>
      </c>
      <c r="AB755" s="1">
        <v>47</v>
      </c>
      <c r="AC755" s="29">
        <v>1642</v>
      </c>
    </row>
    <row r="756" spans="1:29">
      <c r="A756" s="12">
        <v>52</v>
      </c>
      <c r="B756" s="12" t="s">
        <v>746</v>
      </c>
      <c r="C756" s="12">
        <v>52473</v>
      </c>
      <c r="D756" s="12" t="s">
        <v>576</v>
      </c>
      <c r="E756" s="17">
        <v>0.96626536242789063</v>
      </c>
      <c r="F756" s="17">
        <v>3.3734637572109358E-2</v>
      </c>
      <c r="G756" s="13">
        <v>0.63160396039603961</v>
      </c>
      <c r="H756" s="13">
        <v>28.537037037037038</v>
      </c>
      <c r="I756" s="14">
        <v>8.9840669276530445</v>
      </c>
      <c r="J756" s="16">
        <v>0.51470000000000005</v>
      </c>
      <c r="K756" s="16">
        <v>0.51470000000000005</v>
      </c>
      <c r="L756" s="13">
        <v>0.14480000000000001</v>
      </c>
      <c r="M756" s="13">
        <v>1.23E-2</v>
      </c>
      <c r="N756" s="13">
        <v>0.10580000000000001</v>
      </c>
      <c r="O756" s="13">
        <v>6.7199999999999996E-2</v>
      </c>
      <c r="P756" s="16">
        <v>0.60570000000000002</v>
      </c>
      <c r="Q756" s="16">
        <v>0.48340000000000005</v>
      </c>
      <c r="R756" s="16">
        <v>0.38380000000000003</v>
      </c>
      <c r="S756" s="16">
        <f t="shared" si="24"/>
        <v>0.49096666666666672</v>
      </c>
      <c r="T756" s="18">
        <v>1</v>
      </c>
      <c r="U756" s="1">
        <v>14.49275362</v>
      </c>
      <c r="V756" s="1">
        <f t="shared" si="23"/>
        <v>2.7403724062219861</v>
      </c>
      <c r="W756" s="26"/>
      <c r="X756">
        <v>1.0699999999999999E-2</v>
      </c>
      <c r="Y756" s="1">
        <v>7.4000000000000003E-3</v>
      </c>
      <c r="Z756" s="1">
        <v>7.4000000000000003E-3</v>
      </c>
      <c r="AA756" s="1">
        <v>12081</v>
      </c>
      <c r="AB756" s="1">
        <v>69</v>
      </c>
      <c r="AC756" s="29">
        <v>2903</v>
      </c>
    </row>
    <row r="757" spans="1:29">
      <c r="A757" s="12">
        <v>52</v>
      </c>
      <c r="B757" s="12" t="s">
        <v>746</v>
      </c>
      <c r="C757" s="12">
        <v>52480</v>
      </c>
      <c r="D757" s="12" t="s">
        <v>780</v>
      </c>
      <c r="E757" s="17">
        <v>0.86776037782749194</v>
      </c>
      <c r="F757" s="17">
        <v>0.13223962217250809</v>
      </c>
      <c r="G757" s="13">
        <v>0.88514851485148516</v>
      </c>
      <c r="H757" s="13">
        <v>6.5497185741088177</v>
      </c>
      <c r="I757" s="14">
        <v>8.3000317117795746</v>
      </c>
      <c r="J757" s="16">
        <v>0.63029999999999997</v>
      </c>
      <c r="K757" s="16">
        <v>0.63029999999999997</v>
      </c>
      <c r="L757" s="13">
        <v>0.45689999999999997</v>
      </c>
      <c r="M757" s="13">
        <v>6.4999999999999997E-3</v>
      </c>
      <c r="N757" s="13">
        <v>3.6600000000000001E-2</v>
      </c>
      <c r="O757" s="13">
        <v>8.6E-3</v>
      </c>
      <c r="P757" s="16">
        <v>0.46060000000000001</v>
      </c>
      <c r="Q757" s="16">
        <v>0.46060000000000001</v>
      </c>
      <c r="R757" s="16">
        <v>0.46060000000000001</v>
      </c>
      <c r="S757" s="16">
        <f t="shared" si="24"/>
        <v>0.46060000000000006</v>
      </c>
      <c r="T757" s="18">
        <v>1</v>
      </c>
      <c r="U757" s="1">
        <v>0</v>
      </c>
      <c r="V757" s="1">
        <f t="shared" si="23"/>
        <v>0</v>
      </c>
      <c r="W757" s="25"/>
      <c r="X757">
        <v>2.6599999999999999E-2</v>
      </c>
      <c r="Y757" s="1">
        <v>1.2287999999999999</v>
      </c>
      <c r="Z757" s="1">
        <v>0.80149999999999999</v>
      </c>
      <c r="AA757" s="1">
        <v>4530</v>
      </c>
      <c r="AB757" s="1">
        <v>48</v>
      </c>
      <c r="AC757" s="29">
        <v>728</v>
      </c>
    </row>
    <row r="758" spans="1:29">
      <c r="A758" s="12">
        <v>52</v>
      </c>
      <c r="B758" s="12" t="s">
        <v>746</v>
      </c>
      <c r="C758" s="12">
        <v>52490</v>
      </c>
      <c r="D758" s="12" t="s">
        <v>781</v>
      </c>
      <c r="E758" s="17">
        <v>0.97045947021624734</v>
      </c>
      <c r="F758" s="17">
        <v>2.9540529783752708E-2</v>
      </c>
      <c r="G758" s="13">
        <v>0.85432014809777479</v>
      </c>
      <c r="H758" s="13">
        <v>32.802690582959642</v>
      </c>
      <c r="I758" s="14">
        <v>10.026324462495191</v>
      </c>
      <c r="J758" s="16">
        <v>0.66769999999999996</v>
      </c>
      <c r="K758" s="16">
        <v>0.66769999999999996</v>
      </c>
      <c r="L758" s="13">
        <v>0.1231</v>
      </c>
      <c r="M758" s="13">
        <v>1.44E-2</v>
      </c>
      <c r="N758" s="13">
        <v>0.1431</v>
      </c>
      <c r="O758" s="13">
        <v>3.7499999999999999E-2</v>
      </c>
      <c r="P758" s="16">
        <v>0.33079999999999998</v>
      </c>
      <c r="Q758" s="16">
        <v>0.33079999999999998</v>
      </c>
      <c r="R758" s="16">
        <v>0.33079999999999998</v>
      </c>
      <c r="S758" s="16">
        <f t="shared" si="24"/>
        <v>0.33079999999999998</v>
      </c>
      <c r="T758" s="18">
        <v>1</v>
      </c>
      <c r="U758" s="1">
        <v>16.304347830000001</v>
      </c>
      <c r="V758" s="1">
        <f t="shared" si="23"/>
        <v>2.8509577895814187</v>
      </c>
      <c r="W758" s="26"/>
      <c r="X758">
        <v>9.9000000000000008E-3</v>
      </c>
      <c r="Y758" s="1">
        <v>1.29E-2</v>
      </c>
      <c r="Z758" s="1">
        <v>1.2800000000000001E-2</v>
      </c>
      <c r="AA758" s="1">
        <v>26822</v>
      </c>
      <c r="AB758" s="1">
        <v>184</v>
      </c>
      <c r="AC758" s="29">
        <v>7542</v>
      </c>
    </row>
    <row r="759" spans="1:29">
      <c r="A759" s="12">
        <v>52</v>
      </c>
      <c r="B759" s="12" t="s">
        <v>746</v>
      </c>
      <c r="C759" s="12">
        <v>52506</v>
      </c>
      <c r="D759" s="12" t="s">
        <v>782</v>
      </c>
      <c r="E759" s="17">
        <v>0.94670513209839058</v>
      </c>
      <c r="F759" s="17">
        <v>5.3294867901609477E-2</v>
      </c>
      <c r="G759" s="13">
        <v>0.88533405027557466</v>
      </c>
      <c r="H759" s="13">
        <v>17.713068181818183</v>
      </c>
      <c r="I759" s="14">
        <v>8.7928532886406927</v>
      </c>
      <c r="J759" s="16">
        <v>0.71419999999999995</v>
      </c>
      <c r="K759" s="16">
        <v>0.71419999999999995</v>
      </c>
      <c r="L759" s="13">
        <v>0.42270000000000002</v>
      </c>
      <c r="M759" s="13">
        <v>7.3000000000000001E-3</v>
      </c>
      <c r="N759" s="13">
        <v>5.7200000000000001E-2</v>
      </c>
      <c r="O759" s="13">
        <v>1.5800000000000002E-2</v>
      </c>
      <c r="P759" s="16">
        <v>0.53120000000000001</v>
      </c>
      <c r="Q759" s="16">
        <v>0.53120000000000001</v>
      </c>
      <c r="R759" s="16">
        <v>0.1827</v>
      </c>
      <c r="S759" s="16">
        <f t="shared" si="24"/>
        <v>0.41503333333333337</v>
      </c>
      <c r="T759" s="18">
        <v>0.79721577726218096</v>
      </c>
      <c r="U759" s="1">
        <v>0</v>
      </c>
      <c r="V759" s="1">
        <f t="shared" si="23"/>
        <v>0</v>
      </c>
      <c r="W759" s="25"/>
      <c r="X759">
        <v>9.7000000000000003E-3</v>
      </c>
      <c r="Y759" s="1">
        <v>0.4254</v>
      </c>
      <c r="Z759" s="1">
        <v>0.35449999999999998</v>
      </c>
      <c r="AA759" s="1">
        <v>7111</v>
      </c>
      <c r="AB759" s="1">
        <v>22</v>
      </c>
      <c r="AC759" s="29">
        <v>1147</v>
      </c>
    </row>
    <row r="760" spans="1:29">
      <c r="A760" s="12">
        <v>52</v>
      </c>
      <c r="B760" s="12" t="s">
        <v>746</v>
      </c>
      <c r="C760" s="12">
        <v>52520</v>
      </c>
      <c r="D760" s="12" t="s">
        <v>763</v>
      </c>
      <c r="E760" s="17">
        <v>0.9533398139147341</v>
      </c>
      <c r="F760" s="17">
        <v>4.6660186085265933E-2</v>
      </c>
      <c r="G760" s="13">
        <v>0.48186563169164881</v>
      </c>
      <c r="H760" s="13">
        <v>20.370919881305639</v>
      </c>
      <c r="I760" s="14">
        <v>8.8821140442088211</v>
      </c>
      <c r="J760" s="16">
        <v>0.42359999999999998</v>
      </c>
      <c r="K760" s="16">
        <v>0.42359999999999998</v>
      </c>
      <c r="L760" s="13">
        <v>8.4500000000000006E-2</v>
      </c>
      <c r="M760" s="13">
        <v>1.72E-2</v>
      </c>
      <c r="N760" s="13">
        <v>0.2029</v>
      </c>
      <c r="O760" s="13">
        <v>0.1042</v>
      </c>
      <c r="P760" s="16">
        <v>0.85659999999999992</v>
      </c>
      <c r="Q760" s="16">
        <v>0.7206999999999999</v>
      </c>
      <c r="R760" s="16">
        <v>0.63680000000000003</v>
      </c>
      <c r="S760" s="16">
        <f t="shared" si="24"/>
        <v>0.73803333333333321</v>
      </c>
      <c r="T760" s="18">
        <v>0.29927448609431601</v>
      </c>
      <c r="U760" s="1">
        <v>0</v>
      </c>
      <c r="V760" s="1">
        <f t="shared" si="23"/>
        <v>0</v>
      </c>
      <c r="W760" s="26"/>
      <c r="X760">
        <v>5.4999999999999997E-3</v>
      </c>
      <c r="Y760" s="1">
        <v>0</v>
      </c>
      <c r="Z760" s="1">
        <v>0</v>
      </c>
      <c r="AA760" s="1">
        <v>15667</v>
      </c>
      <c r="AB760" s="1">
        <v>59</v>
      </c>
      <c r="AC760" s="29">
        <v>4020</v>
      </c>
    </row>
    <row r="761" spans="1:29">
      <c r="A761" s="12">
        <v>52</v>
      </c>
      <c r="B761" s="12" t="s">
        <v>746</v>
      </c>
      <c r="C761" s="12">
        <v>52540</v>
      </c>
      <c r="D761" s="12" t="s">
        <v>784</v>
      </c>
      <c r="E761" s="17">
        <v>0.97554181669950402</v>
      </c>
      <c r="F761" s="17">
        <v>2.4458183300495956E-2</v>
      </c>
      <c r="G761" s="13">
        <v>1</v>
      </c>
      <c r="H761" s="13">
        <v>39.775623268698062</v>
      </c>
      <c r="I761" s="14">
        <v>9.5969623922828671</v>
      </c>
      <c r="J761" s="16">
        <v>1.1406000000000001</v>
      </c>
      <c r="K761" s="16">
        <v>1.1406000000000001</v>
      </c>
      <c r="L761" s="13">
        <v>0.37109999999999999</v>
      </c>
      <c r="M761" s="13">
        <v>3.6600000000000001E-2</v>
      </c>
      <c r="N761" s="13">
        <v>7.2400000000000006E-2</v>
      </c>
      <c r="O761" s="13">
        <v>3.3599999999999998E-2</v>
      </c>
      <c r="P761" s="16">
        <v>0.73180000000000012</v>
      </c>
      <c r="Q761" s="16">
        <v>0.73120000000000007</v>
      </c>
      <c r="R761" s="16">
        <v>0.34899999999999998</v>
      </c>
      <c r="S761" s="16">
        <f t="shared" si="24"/>
        <v>0.60399999999999998</v>
      </c>
      <c r="T761" s="18">
        <v>1</v>
      </c>
      <c r="U761" s="1">
        <v>8.6956521739999992</v>
      </c>
      <c r="V761" s="1">
        <f t="shared" si="23"/>
        <v>2.2716775555399376</v>
      </c>
      <c r="W761" s="25"/>
      <c r="X761">
        <v>2.5100000000000001E-2</v>
      </c>
      <c r="Y761" s="1">
        <v>8.6999999999999994E-3</v>
      </c>
      <c r="Z761" s="1">
        <v>8.6999999999999994E-3</v>
      </c>
      <c r="AA761" s="1">
        <v>9905</v>
      </c>
      <c r="AB761" s="1">
        <v>115</v>
      </c>
      <c r="AC761" s="29">
        <v>1959</v>
      </c>
    </row>
    <row r="762" spans="1:29">
      <c r="A762" s="12">
        <v>52</v>
      </c>
      <c r="B762" s="12" t="s">
        <v>746</v>
      </c>
      <c r="C762" s="12">
        <v>52560</v>
      </c>
      <c r="D762" s="12" t="s">
        <v>785</v>
      </c>
      <c r="E762" s="17">
        <v>0.95478325859491775</v>
      </c>
      <c r="F762" s="17">
        <v>4.5216741405082216E-2</v>
      </c>
      <c r="G762" s="13">
        <v>1</v>
      </c>
      <c r="H762" s="13">
        <v>21.080858085808583</v>
      </c>
      <c r="I762" s="14">
        <v>9.5015910693049896</v>
      </c>
      <c r="J762" s="16">
        <v>1.0064</v>
      </c>
      <c r="K762" s="16">
        <v>1.0064</v>
      </c>
      <c r="L762" s="13">
        <v>0.70940000000000003</v>
      </c>
      <c r="M762" s="13">
        <v>1.32E-2</v>
      </c>
      <c r="N762" s="13">
        <v>6.4399999999999999E-2</v>
      </c>
      <c r="O762" s="13">
        <v>6.1100000000000002E-2</v>
      </c>
      <c r="P762" s="16">
        <v>0.78390000000000004</v>
      </c>
      <c r="Q762" s="16">
        <v>0.13059999999999999</v>
      </c>
      <c r="R762" s="16">
        <v>0.13059999999999999</v>
      </c>
      <c r="S762" s="16">
        <f t="shared" si="24"/>
        <v>0.34836666666666671</v>
      </c>
      <c r="T762" s="18">
        <v>1</v>
      </c>
      <c r="U762" s="1">
        <v>0</v>
      </c>
      <c r="V762" s="1">
        <f t="shared" si="23"/>
        <v>0</v>
      </c>
      <c r="W762" s="26"/>
      <c r="X762">
        <v>2.5899999999999999E-2</v>
      </c>
      <c r="Y762" s="1">
        <v>7.3800000000000004E-2</v>
      </c>
      <c r="Z762" s="1">
        <v>7.1199999999999999E-2</v>
      </c>
      <c r="AA762" s="1">
        <v>10402</v>
      </c>
      <c r="AB762" s="1">
        <v>81</v>
      </c>
      <c r="AC762" s="29">
        <v>1895</v>
      </c>
    </row>
    <row r="763" spans="1:29">
      <c r="A763" s="12">
        <v>52</v>
      </c>
      <c r="B763" s="12" t="s">
        <v>746</v>
      </c>
      <c r="C763" s="12">
        <v>52565</v>
      </c>
      <c r="D763" s="12" t="s">
        <v>786</v>
      </c>
      <c r="E763" s="17">
        <v>0.95459218642906096</v>
      </c>
      <c r="F763" s="17">
        <v>4.5407813570939003E-2</v>
      </c>
      <c r="G763" s="13">
        <v>1.0030938466827088</v>
      </c>
      <c r="H763" s="13">
        <v>20.943609022556391</v>
      </c>
      <c r="I763" s="14">
        <v>8.6719722452037917</v>
      </c>
      <c r="J763" s="16">
        <v>0.63239999999999996</v>
      </c>
      <c r="K763" s="16">
        <v>0.63239999999999996</v>
      </c>
      <c r="L763" s="13">
        <v>0.43709999999999999</v>
      </c>
      <c r="M763" s="13">
        <v>3.5200000000000002E-2</v>
      </c>
      <c r="N763" s="13">
        <v>4.1300000000000003E-2</v>
      </c>
      <c r="O763" s="13">
        <v>4.5900000000000003E-2</v>
      </c>
      <c r="P763" s="16">
        <v>0.2114</v>
      </c>
      <c r="Q763" s="16">
        <v>0.1439</v>
      </c>
      <c r="R763" s="16">
        <v>0.1439</v>
      </c>
      <c r="S763" s="16">
        <f t="shared" si="24"/>
        <v>0.16639999999999999</v>
      </c>
      <c r="T763" s="18">
        <v>0.87292225201072293</v>
      </c>
      <c r="U763" s="1">
        <v>0</v>
      </c>
      <c r="V763" s="1">
        <f t="shared" si="23"/>
        <v>0</v>
      </c>
      <c r="W763" s="25"/>
      <c r="X763">
        <v>8.3999999999999995E-3</v>
      </c>
      <c r="Y763" s="1">
        <v>0.10920000000000001</v>
      </c>
      <c r="Z763" s="1">
        <v>0.1037</v>
      </c>
      <c r="AA763" s="1">
        <v>5555</v>
      </c>
      <c r="AB763" s="1">
        <v>24</v>
      </c>
      <c r="AC763" s="29">
        <v>1021</v>
      </c>
    </row>
    <row r="764" spans="1:29">
      <c r="A764" s="12">
        <v>52</v>
      </c>
      <c r="B764" s="12" t="s">
        <v>746</v>
      </c>
      <c r="C764" s="12">
        <v>52573</v>
      </c>
      <c r="D764" s="12" t="s">
        <v>787</v>
      </c>
      <c r="E764" s="17">
        <v>0.92962429347223763</v>
      </c>
      <c r="F764" s="17">
        <v>7.0375706527762386E-2</v>
      </c>
      <c r="G764" s="13">
        <v>1</v>
      </c>
      <c r="H764" s="13">
        <v>13.188679245283019</v>
      </c>
      <c r="I764" s="14">
        <v>9.1076429737378408</v>
      </c>
      <c r="J764" s="16">
        <v>0.80969999999999998</v>
      </c>
      <c r="K764" s="16">
        <v>0.80969999999999998</v>
      </c>
      <c r="L764" s="13">
        <v>0.51739999999999997</v>
      </c>
      <c r="M764" s="13">
        <v>2.06E-2</v>
      </c>
      <c r="N764" s="13">
        <v>6.7699999999999996E-2</v>
      </c>
      <c r="O764" s="13">
        <v>8.3400000000000002E-2</v>
      </c>
      <c r="P764" s="16">
        <v>1</v>
      </c>
      <c r="Q764" s="16">
        <v>0.98319999999999996</v>
      </c>
      <c r="R764" s="16">
        <v>0.98319999999999996</v>
      </c>
      <c r="S764" s="16">
        <f t="shared" si="24"/>
        <v>0.98880000000000001</v>
      </c>
      <c r="T764" s="18">
        <v>0.70584144645340696</v>
      </c>
      <c r="U764" s="1">
        <v>0</v>
      </c>
      <c r="V764" s="1">
        <f t="shared" si="23"/>
        <v>0</v>
      </c>
      <c r="W764" s="26"/>
      <c r="X764">
        <v>6.3700000000000007E-2</v>
      </c>
      <c r="Y764" s="1">
        <v>8.72E-2</v>
      </c>
      <c r="Z764" s="1">
        <v>8.3599999999999994E-2</v>
      </c>
      <c r="AA764" s="1">
        <v>8534</v>
      </c>
      <c r="AB764" s="1">
        <v>50</v>
      </c>
      <c r="AC764" s="29">
        <v>1462</v>
      </c>
    </row>
    <row r="765" spans="1:29">
      <c r="A765" s="12">
        <v>52</v>
      </c>
      <c r="B765" s="12" t="s">
        <v>746</v>
      </c>
      <c r="C765" s="12">
        <v>52585</v>
      </c>
      <c r="D765" s="12" t="s">
        <v>788</v>
      </c>
      <c r="E765" s="17">
        <v>0.92824195408323729</v>
      </c>
      <c r="F765" s="17">
        <v>7.1758045916762769E-2</v>
      </c>
      <c r="G765" s="13">
        <v>1</v>
      </c>
      <c r="H765" s="13">
        <v>12.926277372262774</v>
      </c>
      <c r="I765" s="14">
        <v>9.8563435327273101</v>
      </c>
      <c r="J765" s="16">
        <v>0.93340000000000001</v>
      </c>
      <c r="K765" s="16">
        <v>0.93340000000000001</v>
      </c>
      <c r="L765" s="13">
        <v>0.6482</v>
      </c>
      <c r="M765" s="13">
        <v>1.55E-2</v>
      </c>
      <c r="N765" s="13">
        <v>8.6099999999999996E-2</v>
      </c>
      <c r="O765" s="13">
        <v>4.6399999999999997E-2</v>
      </c>
      <c r="P765" s="16">
        <v>1</v>
      </c>
      <c r="Q765" s="16">
        <v>0.27710000000000001</v>
      </c>
      <c r="R765" s="16">
        <v>0.27710000000000001</v>
      </c>
      <c r="S765" s="16">
        <f t="shared" si="24"/>
        <v>0.51806666666666656</v>
      </c>
      <c r="T765" s="18">
        <v>1</v>
      </c>
      <c r="U765" s="1">
        <v>11.764705879999999</v>
      </c>
      <c r="V765" s="1">
        <f t="shared" si="23"/>
        <v>2.5466840092999115</v>
      </c>
      <c r="W765" s="25"/>
      <c r="X765">
        <v>1.72E-2</v>
      </c>
      <c r="Y765" s="1">
        <v>0.45839999999999997</v>
      </c>
      <c r="Z765" s="1">
        <v>0.37740000000000001</v>
      </c>
      <c r="AA765" s="1">
        <v>17327</v>
      </c>
      <c r="AB765" s="1">
        <v>85</v>
      </c>
      <c r="AC765" s="29">
        <v>2785</v>
      </c>
    </row>
    <row r="766" spans="1:29">
      <c r="A766" s="12">
        <v>52</v>
      </c>
      <c r="B766" s="12" t="s">
        <v>746</v>
      </c>
      <c r="C766" s="12">
        <v>52612</v>
      </c>
      <c r="D766" s="12" t="s">
        <v>591</v>
      </c>
      <c r="E766" s="17">
        <v>0.93567999999999996</v>
      </c>
      <c r="F766" s="17">
        <v>6.4274285714285714E-2</v>
      </c>
      <c r="G766" s="13">
        <v>1</v>
      </c>
      <c r="H766" s="13">
        <v>14.547263681592041</v>
      </c>
      <c r="I766" s="14">
        <v>9.9931454244666629</v>
      </c>
      <c r="J766" s="16">
        <v>0.66059999999999997</v>
      </c>
      <c r="K766" s="16">
        <v>0.66059999999999997</v>
      </c>
      <c r="L766" s="13">
        <v>0.25</v>
      </c>
      <c r="M766" s="13">
        <v>2.5499999999999998E-2</v>
      </c>
      <c r="N766" s="13">
        <v>0.17730000000000001</v>
      </c>
      <c r="O766" s="13">
        <v>4.7100000000000003E-2</v>
      </c>
      <c r="P766" s="16">
        <v>0.46279999999999999</v>
      </c>
      <c r="Q766" s="16">
        <v>0.40810000000000002</v>
      </c>
      <c r="R766" s="16">
        <v>0.42270000000000002</v>
      </c>
      <c r="S766" s="16">
        <f t="shared" si="24"/>
        <v>0.43120000000000003</v>
      </c>
      <c r="T766" s="18">
        <v>0.542393795170104</v>
      </c>
      <c r="U766" s="1">
        <v>8.0645161289999994</v>
      </c>
      <c r="V766" s="1">
        <f t="shared" si="23"/>
        <v>2.2043674648450406</v>
      </c>
      <c r="W766" s="26"/>
      <c r="X766">
        <v>2.75E-2</v>
      </c>
      <c r="Y766" s="1">
        <v>9.2999999999999992E-3</v>
      </c>
      <c r="Z766" s="1">
        <v>9.1999999999999998E-3</v>
      </c>
      <c r="AA766" s="1">
        <v>22530</v>
      </c>
      <c r="AB766" s="1">
        <v>248</v>
      </c>
      <c r="AC766" s="29">
        <v>5938</v>
      </c>
    </row>
    <row r="767" spans="1:29">
      <c r="A767" s="12">
        <v>52</v>
      </c>
      <c r="B767" s="12" t="s">
        <v>746</v>
      </c>
      <c r="C767" s="12">
        <v>52621</v>
      </c>
      <c r="D767" s="12" t="s">
        <v>789</v>
      </c>
      <c r="E767" s="17">
        <v>0.96697946175637395</v>
      </c>
      <c r="F767" s="17">
        <v>3.3020538243626059E-2</v>
      </c>
      <c r="G767" s="13">
        <v>0.84753901560624245</v>
      </c>
      <c r="H767" s="13">
        <v>29.205882352941178</v>
      </c>
      <c r="I767" s="14">
        <v>9.3322924827269294</v>
      </c>
      <c r="J767" s="16">
        <v>0.70750000000000002</v>
      </c>
      <c r="K767" s="16">
        <v>0.70750000000000002</v>
      </c>
      <c r="L767" s="13">
        <v>9.7600000000000006E-2</v>
      </c>
      <c r="M767" s="13">
        <v>1.0699999999999999E-2</v>
      </c>
      <c r="N767" s="13">
        <v>0.1391</v>
      </c>
      <c r="O767" s="13">
        <v>3.2099999999999997E-2</v>
      </c>
      <c r="P767" s="16">
        <v>0.88470000000000004</v>
      </c>
      <c r="Q767" s="16">
        <v>0.32829999999999998</v>
      </c>
      <c r="R767" s="16">
        <v>0.88470000000000004</v>
      </c>
      <c r="S767" s="16">
        <f t="shared" si="24"/>
        <v>0.69923333333333337</v>
      </c>
      <c r="T767" s="18">
        <v>1</v>
      </c>
      <c r="U767" s="1">
        <v>0</v>
      </c>
      <c r="V767" s="1">
        <f t="shared" si="23"/>
        <v>0</v>
      </c>
      <c r="W767" s="25"/>
      <c r="X767">
        <v>3.3000000000000002E-2</v>
      </c>
      <c r="Y767" s="1">
        <v>0</v>
      </c>
      <c r="Z767" s="1">
        <v>0</v>
      </c>
      <c r="AA767" s="1">
        <v>12427</v>
      </c>
      <c r="AB767" s="1">
        <v>95</v>
      </c>
      <c r="AC767" s="29">
        <v>3507</v>
      </c>
    </row>
    <row r="768" spans="1:29">
      <c r="A768" s="12">
        <v>52</v>
      </c>
      <c r="B768" s="12" t="s">
        <v>746</v>
      </c>
      <c r="C768" s="12">
        <v>52678</v>
      </c>
      <c r="D768" s="12" t="s">
        <v>790</v>
      </c>
      <c r="E768" s="17">
        <v>0.94108217744046063</v>
      </c>
      <c r="F768" s="17">
        <v>5.8917822559539389E-2</v>
      </c>
      <c r="G768" s="13">
        <v>1</v>
      </c>
      <c r="H768" s="13">
        <v>15.963928967813541</v>
      </c>
      <c r="I768" s="14">
        <v>10.327741702540875</v>
      </c>
      <c r="J768" s="16">
        <v>0.78949999999999998</v>
      </c>
      <c r="K768" s="16">
        <v>0.7893</v>
      </c>
      <c r="L768" s="13">
        <v>0.37709999999999999</v>
      </c>
      <c r="M768" s="13">
        <v>2.4299999999999999E-2</v>
      </c>
      <c r="N768" s="13">
        <v>6.1600000000000002E-2</v>
      </c>
      <c r="O768" s="13">
        <v>4.0899999999999999E-2</v>
      </c>
      <c r="P768" s="16">
        <v>0.95709999999999995</v>
      </c>
      <c r="Q768" s="16">
        <v>0.3735</v>
      </c>
      <c r="R768" s="16">
        <v>0.22949999999999998</v>
      </c>
      <c r="S768" s="16">
        <f t="shared" si="24"/>
        <v>0.52003333333333335</v>
      </c>
      <c r="T768" s="18">
        <v>0.7593807668648761</v>
      </c>
      <c r="U768" s="1">
        <v>4.6296296300000002</v>
      </c>
      <c r="V768" s="1">
        <f t="shared" si="23"/>
        <v>1.7280436549077369</v>
      </c>
      <c r="W768" s="26"/>
      <c r="X768">
        <v>1.17E-2</v>
      </c>
      <c r="Y768" s="1">
        <v>3.7100000000000001E-2</v>
      </c>
      <c r="Z768" s="1">
        <v>3.6499999999999998E-2</v>
      </c>
      <c r="AA768" s="1">
        <v>29401</v>
      </c>
      <c r="AB768" s="1">
        <v>216</v>
      </c>
      <c r="AC768" s="29">
        <v>4955</v>
      </c>
    </row>
    <row r="769" spans="1:29">
      <c r="A769" s="12">
        <v>52</v>
      </c>
      <c r="B769" s="12" t="s">
        <v>746</v>
      </c>
      <c r="C769" s="12">
        <v>52683</v>
      </c>
      <c r="D769" s="12" t="s">
        <v>793</v>
      </c>
      <c r="E769" s="17">
        <v>0.91691892143622222</v>
      </c>
      <c r="F769" s="17">
        <v>8.3081078563777763E-2</v>
      </c>
      <c r="G769" s="13">
        <v>1.0040680819227532</v>
      </c>
      <c r="H769" s="13">
        <v>11.030252100840336</v>
      </c>
      <c r="I769" s="14">
        <v>9.9745981799940804</v>
      </c>
      <c r="J769" s="16">
        <v>0.81189999999999996</v>
      </c>
      <c r="K769" s="16">
        <v>0.81189999999999996</v>
      </c>
      <c r="L769" s="13">
        <v>0.4657</v>
      </c>
      <c r="M769" s="13">
        <v>2.1499999999999998E-2</v>
      </c>
      <c r="N769" s="13">
        <v>6.1199999999999997E-2</v>
      </c>
      <c r="O769" s="13">
        <v>5.2499999999999998E-2</v>
      </c>
      <c r="P769" s="16">
        <v>1</v>
      </c>
      <c r="Q769" s="16">
        <v>0.35289999999999999</v>
      </c>
      <c r="R769" s="16">
        <v>0.35289999999999999</v>
      </c>
      <c r="S769" s="16">
        <f t="shared" si="24"/>
        <v>0.56859999999999999</v>
      </c>
      <c r="T769" s="18">
        <v>0.94692100352477693</v>
      </c>
      <c r="U769" s="1">
        <v>7.8740157479999997</v>
      </c>
      <c r="V769" s="1">
        <f t="shared" si="23"/>
        <v>2.1831274275776358</v>
      </c>
      <c r="W769" s="25"/>
      <c r="X769">
        <v>2.6700000000000002E-2</v>
      </c>
      <c r="Y769" s="1">
        <v>0.47160000000000002</v>
      </c>
      <c r="Z769" s="1">
        <v>0.38629999999999998</v>
      </c>
      <c r="AA769" s="1">
        <v>20826</v>
      </c>
      <c r="AB769" s="1">
        <v>127</v>
      </c>
      <c r="AC769" s="29">
        <v>3254</v>
      </c>
    </row>
    <row r="770" spans="1:29">
      <c r="A770" s="12">
        <v>52</v>
      </c>
      <c r="B770" s="12" t="s">
        <v>746</v>
      </c>
      <c r="C770" s="12">
        <v>52685</v>
      </c>
      <c r="D770" s="12" t="s">
        <v>593</v>
      </c>
      <c r="E770" s="17">
        <v>0.95017073479195646</v>
      </c>
      <c r="F770" s="17">
        <v>4.9829265208043504E-2</v>
      </c>
      <c r="G770" s="13">
        <v>0.81988801327250105</v>
      </c>
      <c r="H770" s="13">
        <v>19.020253164556962</v>
      </c>
      <c r="I770" s="14">
        <v>8.9756301842905071</v>
      </c>
      <c r="J770" s="16">
        <v>0.68899999999999995</v>
      </c>
      <c r="K770" s="16">
        <v>0.68899999999999995</v>
      </c>
      <c r="L770" s="13">
        <v>0.44180000000000003</v>
      </c>
      <c r="M770" s="13">
        <v>2.1899999999999999E-2</v>
      </c>
      <c r="N770" s="13">
        <v>7.6799999999999993E-2</v>
      </c>
      <c r="O770" s="13">
        <v>4.8399999999999999E-2</v>
      </c>
      <c r="P770" s="16">
        <v>0.42130000000000001</v>
      </c>
      <c r="Q770" s="16">
        <v>0.42130000000000001</v>
      </c>
      <c r="R770" s="16">
        <v>0.42130000000000001</v>
      </c>
      <c r="S770" s="16">
        <f t="shared" si="24"/>
        <v>0.42130000000000001</v>
      </c>
      <c r="T770" s="18">
        <v>0.99333333333333296</v>
      </c>
      <c r="U770" s="1">
        <v>0</v>
      </c>
      <c r="V770" s="1">
        <f t="shared" ref="V770:V833" si="25">LN(U770+1)</f>
        <v>0</v>
      </c>
      <c r="W770" s="25"/>
      <c r="X770">
        <v>7.1000000000000004E-3</v>
      </c>
      <c r="Y770" s="1">
        <v>0.16739999999999999</v>
      </c>
      <c r="Z770" s="1">
        <v>0.1547</v>
      </c>
      <c r="AA770" s="1">
        <v>9192</v>
      </c>
      <c r="AB770" s="1">
        <v>46</v>
      </c>
      <c r="AC770" s="29">
        <v>1545</v>
      </c>
    </row>
    <row r="771" spans="1:29">
      <c r="A771" s="12">
        <v>52</v>
      </c>
      <c r="B771" s="12" t="s">
        <v>746</v>
      </c>
      <c r="C771" s="12">
        <v>52687</v>
      </c>
      <c r="D771" s="12" t="s">
        <v>791</v>
      </c>
      <c r="E771" s="17">
        <v>0.95809746133644591</v>
      </c>
      <c r="F771" s="17">
        <v>4.1902538663554131E-2</v>
      </c>
      <c r="G771" s="13">
        <v>0.88361179867986794</v>
      </c>
      <c r="H771" s="13">
        <v>22.833101529902642</v>
      </c>
      <c r="I771" s="14">
        <v>9.7489367926875303</v>
      </c>
      <c r="J771" s="16">
        <v>0.72909999999999997</v>
      </c>
      <c r="K771" s="16">
        <v>0.72909999999999997</v>
      </c>
      <c r="L771" s="13">
        <v>0.47010000000000002</v>
      </c>
      <c r="M771" s="13">
        <v>2.3300000000000001E-2</v>
      </c>
      <c r="N771" s="13">
        <v>4.6100000000000002E-2</v>
      </c>
      <c r="O771" s="13">
        <v>2.12E-2</v>
      </c>
      <c r="P771" s="16">
        <v>0.59209999999999996</v>
      </c>
      <c r="Q771" s="16">
        <v>0.2525</v>
      </c>
      <c r="R771" s="16">
        <v>0.11210000000000001</v>
      </c>
      <c r="S771" s="16">
        <f t="shared" si="24"/>
        <v>0.31890000000000002</v>
      </c>
      <c r="T771" s="18">
        <v>0.952615818213845</v>
      </c>
      <c r="U771" s="1">
        <v>13.15789474</v>
      </c>
      <c r="V771" s="1">
        <f t="shared" si="25"/>
        <v>2.650272400658447</v>
      </c>
      <c r="W771" s="26"/>
      <c r="X771">
        <v>7.4000000000000003E-3</v>
      </c>
      <c r="Y771" s="1">
        <v>6.4000000000000001E-2</v>
      </c>
      <c r="Z771" s="1">
        <v>6.2E-2</v>
      </c>
      <c r="AA771" s="1">
        <v>18725</v>
      </c>
      <c r="AB771" s="1">
        <v>76</v>
      </c>
      <c r="AC771" s="29">
        <v>3268</v>
      </c>
    </row>
    <row r="772" spans="1:29">
      <c r="A772" s="12">
        <v>52</v>
      </c>
      <c r="B772" s="12" t="s">
        <v>746</v>
      </c>
      <c r="C772" s="12">
        <v>52693</v>
      </c>
      <c r="D772" s="12" t="s">
        <v>204</v>
      </c>
      <c r="E772" s="17">
        <v>0.93038635572572226</v>
      </c>
      <c r="F772" s="17">
        <v>6.9544030630003487E-2</v>
      </c>
      <c r="G772" s="13">
        <v>0.90113543692365594</v>
      </c>
      <c r="H772" s="13">
        <v>13.365</v>
      </c>
      <c r="I772" s="14">
        <v>9.5726195826347471</v>
      </c>
      <c r="J772" s="16">
        <v>0.76929999999999998</v>
      </c>
      <c r="K772" s="16">
        <v>0.76929999999999998</v>
      </c>
      <c r="L772" s="13">
        <v>0.48159999999999997</v>
      </c>
      <c r="M772" s="13">
        <v>1.4E-2</v>
      </c>
      <c r="N772" s="13">
        <v>8.4099999999999994E-2</v>
      </c>
      <c r="O772" s="13">
        <v>2.3400000000000001E-2</v>
      </c>
      <c r="P772" s="16">
        <v>0.41830000000000001</v>
      </c>
      <c r="Q772" s="16">
        <v>0.39579999999999999</v>
      </c>
      <c r="R772" s="16">
        <v>0.24480000000000002</v>
      </c>
      <c r="S772" s="16">
        <f t="shared" si="24"/>
        <v>0.35296666666666665</v>
      </c>
      <c r="T772" s="18">
        <v>1</v>
      </c>
      <c r="U772" s="1">
        <v>10.86956522</v>
      </c>
      <c r="V772" s="1">
        <f t="shared" si="25"/>
        <v>2.4739775794755903</v>
      </c>
      <c r="W772" s="25"/>
      <c r="X772">
        <v>1.78E-2</v>
      </c>
      <c r="Y772" s="1">
        <v>0.30599999999999999</v>
      </c>
      <c r="Z772" s="1">
        <v>0.26700000000000002</v>
      </c>
      <c r="AA772" s="1">
        <v>15407</v>
      </c>
      <c r="AB772" s="1">
        <v>92</v>
      </c>
      <c r="AC772" s="29">
        <v>2481</v>
      </c>
    </row>
    <row r="773" spans="1:29" ht="25.5">
      <c r="A773" s="12">
        <v>52</v>
      </c>
      <c r="B773" s="12" t="s">
        <v>746</v>
      </c>
      <c r="C773" s="12">
        <v>52694</v>
      </c>
      <c r="D773" s="12" t="s">
        <v>792</v>
      </c>
      <c r="E773" s="17">
        <v>0.95990331295322051</v>
      </c>
      <c r="F773" s="17">
        <v>4.0096687046779468E-2</v>
      </c>
      <c r="G773" s="13">
        <v>0.98130319520022324</v>
      </c>
      <c r="H773" s="13">
        <v>23.85512367491166</v>
      </c>
      <c r="I773" s="14">
        <v>8.8585108130339272</v>
      </c>
      <c r="J773" s="16">
        <v>0.65690000000000004</v>
      </c>
      <c r="K773" s="16">
        <v>0.65690000000000004</v>
      </c>
      <c r="L773" s="13">
        <v>0.42509999999999998</v>
      </c>
      <c r="M773" s="13">
        <v>3.4000000000000002E-2</v>
      </c>
      <c r="N773" s="13">
        <v>5.0900000000000001E-2</v>
      </c>
      <c r="O773" s="13">
        <v>0.04</v>
      </c>
      <c r="P773" s="16">
        <v>0.17800000000000002</v>
      </c>
      <c r="Q773" s="16">
        <v>0.1308</v>
      </c>
      <c r="R773" s="16">
        <v>0.17800000000000002</v>
      </c>
      <c r="S773" s="16">
        <f t="shared" si="24"/>
        <v>0.16226666666666667</v>
      </c>
      <c r="T773" s="18">
        <v>0.96880317640385694</v>
      </c>
      <c r="U773" s="1">
        <v>20</v>
      </c>
      <c r="V773" s="1">
        <f t="shared" si="25"/>
        <v>3.044522437723423</v>
      </c>
      <c r="W773" s="26"/>
      <c r="X773">
        <v>1.7100000000000001E-2</v>
      </c>
      <c r="Y773" s="1">
        <v>0.2046</v>
      </c>
      <c r="Z773" s="1">
        <v>0.1862</v>
      </c>
      <c r="AA773" s="1">
        <v>6842</v>
      </c>
      <c r="AB773" s="1">
        <v>50</v>
      </c>
      <c r="AC773" s="29">
        <v>1240</v>
      </c>
    </row>
    <row r="774" spans="1:29">
      <c r="A774" s="12">
        <v>52</v>
      </c>
      <c r="B774" s="12" t="s">
        <v>746</v>
      </c>
      <c r="C774" s="12">
        <v>52696</v>
      </c>
      <c r="D774" s="12" t="s">
        <v>113</v>
      </c>
      <c r="E774" s="17">
        <v>0.97223162885201486</v>
      </c>
      <c r="F774" s="17">
        <v>2.77683711479851E-2</v>
      </c>
      <c r="G774" s="13">
        <v>0.62634332579185525</v>
      </c>
      <c r="H774" s="13">
        <v>34.870445344129557</v>
      </c>
      <c r="I774" s="14">
        <v>9.0893020435991261</v>
      </c>
      <c r="J774" s="16">
        <v>0.55220000000000002</v>
      </c>
      <c r="K774" s="16">
        <v>0.55220000000000002</v>
      </c>
      <c r="L774" s="13">
        <v>8.1500000000000003E-2</v>
      </c>
      <c r="M774" s="13">
        <v>1.7100000000000001E-2</v>
      </c>
      <c r="N774" s="13">
        <v>0.1371</v>
      </c>
      <c r="O774" s="13">
        <v>0</v>
      </c>
      <c r="P774" s="16">
        <v>0.49590000000000001</v>
      </c>
      <c r="Q774" s="16">
        <v>0.47350000000000003</v>
      </c>
      <c r="R774" s="16">
        <v>0.47350000000000003</v>
      </c>
      <c r="S774" s="16">
        <f t="shared" si="24"/>
        <v>0.48096666666666671</v>
      </c>
      <c r="T774" s="18">
        <v>1</v>
      </c>
      <c r="U774" s="1">
        <v>34.482758619999998</v>
      </c>
      <c r="V774" s="1">
        <f t="shared" si="25"/>
        <v>3.5690469058281393</v>
      </c>
      <c r="W774" s="26"/>
      <c r="X774">
        <v>1.06E-2</v>
      </c>
      <c r="Y774" s="1">
        <v>2.5000000000000001E-3</v>
      </c>
      <c r="Z774" s="1">
        <v>2.5000000000000001E-3</v>
      </c>
      <c r="AA774" s="1">
        <v>14142</v>
      </c>
      <c r="AB774" s="1">
        <v>58</v>
      </c>
      <c r="AC774" s="29">
        <v>3831</v>
      </c>
    </row>
    <row r="775" spans="1:29">
      <c r="A775" s="12">
        <v>52</v>
      </c>
      <c r="B775" s="12" t="s">
        <v>746</v>
      </c>
      <c r="C775" s="12">
        <v>52699</v>
      </c>
      <c r="D775" s="12" t="s">
        <v>794</v>
      </c>
      <c r="E775" s="17">
        <v>0.96154875546435903</v>
      </c>
      <c r="F775" s="17">
        <v>3.8451244535640999E-2</v>
      </c>
      <c r="G775" s="13">
        <v>0.98740310077519378</v>
      </c>
      <c r="H775" s="13">
        <v>24.949074074074073</v>
      </c>
      <c r="I775" s="14">
        <v>9.3245615160662059</v>
      </c>
      <c r="J775" s="16">
        <v>0.61550000000000005</v>
      </c>
      <c r="K775" s="16">
        <v>0.61550000000000005</v>
      </c>
      <c r="L775" s="13">
        <v>0.29020000000000001</v>
      </c>
      <c r="M775" s="13">
        <v>2.7900000000000001E-2</v>
      </c>
      <c r="N775" s="13">
        <v>5.8000000000000003E-2</v>
      </c>
      <c r="O775" s="13">
        <v>4.8000000000000001E-2</v>
      </c>
      <c r="P775" s="16">
        <v>3.7499999999999999E-2</v>
      </c>
      <c r="Q775" s="16">
        <v>3.7499999999999999E-2</v>
      </c>
      <c r="R775" s="16">
        <v>3.7499999999999999E-2</v>
      </c>
      <c r="S775" s="16">
        <f t="shared" si="24"/>
        <v>3.7499999999999999E-2</v>
      </c>
      <c r="T775" s="18">
        <v>0.75144508670520194</v>
      </c>
      <c r="U775" s="1">
        <v>39.215686269999999</v>
      </c>
      <c r="V775" s="1">
        <f t="shared" si="25"/>
        <v>3.6942571252359144</v>
      </c>
      <c r="W775" s="25"/>
      <c r="X775">
        <v>6.4000000000000003E-3</v>
      </c>
      <c r="Y775" s="1">
        <v>1.95E-2</v>
      </c>
      <c r="Z775" s="1">
        <v>1.9300000000000001E-2</v>
      </c>
      <c r="AA775" s="1">
        <v>10666</v>
      </c>
      <c r="AB775" s="1">
        <v>51</v>
      </c>
      <c r="AC775" s="29">
        <v>2058</v>
      </c>
    </row>
    <row r="776" spans="1:29">
      <c r="A776" s="12">
        <v>52</v>
      </c>
      <c r="B776" s="12" t="s">
        <v>746</v>
      </c>
      <c r="C776" s="12">
        <v>52720</v>
      </c>
      <c r="D776" s="12" t="s">
        <v>795</v>
      </c>
      <c r="E776" s="17">
        <v>0.92578822129684712</v>
      </c>
      <c r="F776" s="17">
        <v>7.4211778703152889E-2</v>
      </c>
      <c r="G776" s="13">
        <v>0.87574889294086999</v>
      </c>
      <c r="H776" s="13">
        <v>12.45</v>
      </c>
      <c r="I776" s="14">
        <v>8.8135872044700392</v>
      </c>
      <c r="J776" s="16">
        <v>0.66349999999999998</v>
      </c>
      <c r="K776" s="16">
        <v>0.66349999999999998</v>
      </c>
      <c r="L776" s="13">
        <v>0.3679</v>
      </c>
      <c r="M776" s="13">
        <v>6.0000000000000001E-3</v>
      </c>
      <c r="N776" s="13">
        <v>7.4300000000000005E-2</v>
      </c>
      <c r="O776" s="13">
        <v>5.3900000000000003E-2</v>
      </c>
      <c r="P776" s="16">
        <v>0.13400000000000001</v>
      </c>
      <c r="Q776" s="16">
        <v>0.13400000000000001</v>
      </c>
      <c r="R776" s="16">
        <v>0.2293</v>
      </c>
      <c r="S776" s="16">
        <f t="shared" ref="S776:S839" si="26">+(P776+Q776+R776)/3</f>
        <v>0.16576666666666667</v>
      </c>
      <c r="T776" s="18">
        <v>1</v>
      </c>
      <c r="U776" s="1">
        <v>0</v>
      </c>
      <c r="V776" s="1">
        <f t="shared" si="25"/>
        <v>0</v>
      </c>
      <c r="W776" s="26"/>
      <c r="X776">
        <v>1.5699999999999999E-2</v>
      </c>
      <c r="Y776" s="1">
        <v>0.21279999999999999</v>
      </c>
      <c r="Z776" s="1">
        <v>0.19289999999999999</v>
      </c>
      <c r="AA776" s="1">
        <v>7368</v>
      </c>
      <c r="AB776" s="1">
        <v>35</v>
      </c>
      <c r="AC776" s="29">
        <v>1245</v>
      </c>
    </row>
    <row r="777" spans="1:29">
      <c r="A777" s="12">
        <v>52</v>
      </c>
      <c r="B777" s="12" t="s">
        <v>746</v>
      </c>
      <c r="C777" s="12">
        <v>52786</v>
      </c>
      <c r="D777" s="12" t="s">
        <v>796</v>
      </c>
      <c r="E777" s="17">
        <v>0.95033151099220659</v>
      </c>
      <c r="F777" s="17">
        <v>4.9668489007793415E-2</v>
      </c>
      <c r="G777" s="13">
        <v>0.92296956358365989</v>
      </c>
      <c r="H777" s="13">
        <v>19.111111111111111</v>
      </c>
      <c r="I777" s="14">
        <v>9.7523739228663668</v>
      </c>
      <c r="J777" s="16">
        <v>0.85589999999999999</v>
      </c>
      <c r="K777" s="16">
        <v>0.85589999999999999</v>
      </c>
      <c r="L777" s="13">
        <v>0.62270000000000003</v>
      </c>
      <c r="M777" s="13">
        <v>1.7999999999999999E-2</v>
      </c>
      <c r="N777" s="13">
        <v>4.0899999999999999E-2</v>
      </c>
      <c r="O777" s="13">
        <v>2.6200000000000001E-2</v>
      </c>
      <c r="P777" s="16">
        <v>0.75739999999999996</v>
      </c>
      <c r="Q777" s="16">
        <v>0.2621</v>
      </c>
      <c r="R777" s="16">
        <v>0.31090000000000001</v>
      </c>
      <c r="S777" s="16">
        <f t="shared" si="26"/>
        <v>0.44346666666666662</v>
      </c>
      <c r="T777" s="18">
        <v>0.80976537729866804</v>
      </c>
      <c r="U777" s="1">
        <v>9.0909090910000003</v>
      </c>
      <c r="V777" s="1">
        <f t="shared" si="25"/>
        <v>2.3116349285229725</v>
      </c>
      <c r="W777" s="25"/>
      <c r="X777">
        <v>1.8800000000000001E-2</v>
      </c>
      <c r="Y777" s="1">
        <v>0.1525</v>
      </c>
      <c r="Z777" s="1">
        <v>0.14199999999999999</v>
      </c>
      <c r="AA777" s="1">
        <v>18398</v>
      </c>
      <c r="AB777" s="1">
        <v>110</v>
      </c>
      <c r="AC777" s="29">
        <v>2902</v>
      </c>
    </row>
    <row r="778" spans="1:29">
      <c r="A778" s="12">
        <v>52</v>
      </c>
      <c r="B778" s="12" t="s">
        <v>746</v>
      </c>
      <c r="C778" s="12">
        <v>52788</v>
      </c>
      <c r="D778" s="12" t="s">
        <v>797</v>
      </c>
      <c r="E778" s="17">
        <v>0.91041500399042297</v>
      </c>
      <c r="F778" s="17">
        <v>8.958499600957702E-2</v>
      </c>
      <c r="G778" s="13">
        <v>0.70780963140799324</v>
      </c>
      <c r="H778" s="13">
        <v>10.151279199110123</v>
      </c>
      <c r="I778" s="14">
        <v>9.2128372521747703</v>
      </c>
      <c r="J778" s="16">
        <v>0.57169999999999999</v>
      </c>
      <c r="K778" s="16">
        <v>0.57169999999999999</v>
      </c>
      <c r="L778" s="13">
        <v>0.33329999999999999</v>
      </c>
      <c r="M778" s="13">
        <v>8.0999999999999996E-3</v>
      </c>
      <c r="N778" s="13">
        <v>5.1299999999999998E-2</v>
      </c>
      <c r="O778" s="13">
        <v>9.7999999999999997E-3</v>
      </c>
      <c r="P778" s="16">
        <v>1</v>
      </c>
      <c r="Q778" s="16">
        <v>0.30760000000000004</v>
      </c>
      <c r="R778" s="16">
        <v>0.1464</v>
      </c>
      <c r="S778" s="16">
        <f t="shared" si="26"/>
        <v>0.48466666666666675</v>
      </c>
      <c r="T778" s="18">
        <v>0.63455471972822108</v>
      </c>
      <c r="U778" s="1">
        <v>0</v>
      </c>
      <c r="V778" s="1">
        <f t="shared" si="25"/>
        <v>0</v>
      </c>
      <c r="W778" s="26"/>
      <c r="X778">
        <v>7.0699999999999999E-2</v>
      </c>
      <c r="Y778" s="1">
        <v>0.32</v>
      </c>
      <c r="Z778" s="1">
        <v>0.27760000000000001</v>
      </c>
      <c r="AA778" s="1">
        <v>14521</v>
      </c>
      <c r="AB778" s="1">
        <v>56</v>
      </c>
      <c r="AC778" s="29">
        <v>2352</v>
      </c>
    </row>
    <row r="779" spans="1:29">
      <c r="A779" s="12">
        <v>52</v>
      </c>
      <c r="B779" s="12" t="s">
        <v>746</v>
      </c>
      <c r="C779" s="12">
        <v>52835</v>
      </c>
      <c r="D779" s="12" t="s">
        <v>798</v>
      </c>
      <c r="E779" s="17">
        <v>0.87660490876344166</v>
      </c>
      <c r="F779" s="17">
        <v>0.1233854340194786</v>
      </c>
      <c r="G779" s="13">
        <v>0.77562263585633495</v>
      </c>
      <c r="H779" s="13">
        <v>7.1043280895358851</v>
      </c>
      <c r="I779" s="14">
        <v>12.240957047383676</v>
      </c>
      <c r="J779" s="16">
        <v>0.66139999999999999</v>
      </c>
      <c r="K779" s="16">
        <v>0.66100000000000003</v>
      </c>
      <c r="L779" s="13">
        <v>0.25559999999999999</v>
      </c>
      <c r="M779" s="13">
        <v>3.8300000000000001E-2</v>
      </c>
      <c r="N779" s="13">
        <v>0.13739999999999999</v>
      </c>
      <c r="O779" s="13">
        <v>9.1600000000000001E-2</v>
      </c>
      <c r="P779" s="16">
        <v>0.78040000000000009</v>
      </c>
      <c r="Q779" s="16">
        <v>0.1356</v>
      </c>
      <c r="R779" s="16">
        <v>0.48840000000000006</v>
      </c>
      <c r="S779" s="16">
        <f t="shared" si="26"/>
        <v>0.46813333333333346</v>
      </c>
      <c r="T779" s="18">
        <v>0.47541562359586598</v>
      </c>
      <c r="U779" s="1">
        <v>15.657189949999999</v>
      </c>
      <c r="V779" s="1">
        <f t="shared" si="25"/>
        <v>2.812841952044046</v>
      </c>
      <c r="W779" s="25"/>
      <c r="X779">
        <v>3.5700000000000003E-2</v>
      </c>
      <c r="Y779" s="1">
        <v>3.5900000000000001E-2</v>
      </c>
      <c r="Z779" s="1">
        <v>3.5299999999999998E-2</v>
      </c>
      <c r="AA779" s="1">
        <v>272306</v>
      </c>
      <c r="AB779" s="1">
        <v>2427</v>
      </c>
      <c r="AC779" s="29">
        <v>66278</v>
      </c>
    </row>
    <row r="780" spans="1:29">
      <c r="A780" s="12">
        <v>52</v>
      </c>
      <c r="B780" s="12" t="s">
        <v>746</v>
      </c>
      <c r="C780" s="12">
        <v>52838</v>
      </c>
      <c r="D780" s="12" t="s">
        <v>799</v>
      </c>
      <c r="E780" s="17">
        <v>0.88795785456506404</v>
      </c>
      <c r="F780" s="17">
        <v>0.11204214543493592</v>
      </c>
      <c r="G780" s="13">
        <v>1</v>
      </c>
      <c r="H780" s="13">
        <v>7.923746066999815</v>
      </c>
      <c r="I780" s="14">
        <v>10.783425454944485</v>
      </c>
      <c r="J780" s="16">
        <v>0.79569999999999996</v>
      </c>
      <c r="K780" s="16">
        <v>0.79569999999999996</v>
      </c>
      <c r="L780" s="13">
        <v>0.3669</v>
      </c>
      <c r="M780" s="13">
        <v>1.5900000000000001E-2</v>
      </c>
      <c r="N780" s="13">
        <v>7.4399999999999994E-2</v>
      </c>
      <c r="O780" s="13">
        <v>6.6900000000000001E-2</v>
      </c>
      <c r="P780" s="16">
        <v>0.9948999999999999</v>
      </c>
      <c r="Q780" s="16">
        <v>0.97770000000000001</v>
      </c>
      <c r="R780" s="16">
        <v>0.9668000000000001</v>
      </c>
      <c r="S780" s="16">
        <f t="shared" si="26"/>
        <v>0.9798</v>
      </c>
      <c r="T780" s="18">
        <v>1</v>
      </c>
      <c r="U780" s="1">
        <v>3.4013605440000001</v>
      </c>
      <c r="V780" s="1">
        <f t="shared" si="25"/>
        <v>1.4819137076727051</v>
      </c>
      <c r="W780" s="26"/>
      <c r="X780">
        <v>3.1E-2</v>
      </c>
      <c r="Y780" s="1">
        <v>0.79720000000000002</v>
      </c>
      <c r="Z780" s="1">
        <v>0.58620000000000005</v>
      </c>
      <c r="AA780" s="1">
        <v>47014</v>
      </c>
      <c r="AB780" s="1">
        <v>294</v>
      </c>
      <c r="AC780" s="29">
        <v>8460</v>
      </c>
    </row>
    <row r="781" spans="1:29">
      <c r="A781" s="12">
        <v>52</v>
      </c>
      <c r="B781" s="12" t="s">
        <v>746</v>
      </c>
      <c r="C781" s="12">
        <v>52885</v>
      </c>
      <c r="D781" s="12" t="s">
        <v>800</v>
      </c>
      <c r="E781" s="17">
        <v>0.92343164569122871</v>
      </c>
      <c r="F781" s="17">
        <v>7.656835430877125E-2</v>
      </c>
      <c r="G781" s="13">
        <v>0.90544537230340993</v>
      </c>
      <c r="H781" s="13">
        <v>12.045112781954888</v>
      </c>
      <c r="I781" s="14">
        <v>9.2505221616090143</v>
      </c>
      <c r="J781" s="16">
        <v>0.74070000000000003</v>
      </c>
      <c r="K781" s="16">
        <v>0.74070000000000003</v>
      </c>
      <c r="L781" s="13">
        <v>0.43169999999999997</v>
      </c>
      <c r="M781" s="13">
        <v>1.29E-2</v>
      </c>
      <c r="N781" s="13">
        <v>3.5200000000000002E-2</v>
      </c>
      <c r="O781" s="13">
        <v>2.0799999999999999E-2</v>
      </c>
      <c r="P781" s="16">
        <v>0.51340000000000008</v>
      </c>
      <c r="Q781" s="16">
        <v>0.16620000000000001</v>
      </c>
      <c r="R781" s="16">
        <v>0.1812</v>
      </c>
      <c r="S781" s="16">
        <f t="shared" si="26"/>
        <v>0.28693333333333337</v>
      </c>
      <c r="T781" s="18">
        <v>0.94214876033057804</v>
      </c>
      <c r="U781" s="1">
        <v>0</v>
      </c>
      <c r="V781" s="1">
        <f t="shared" si="25"/>
        <v>0</v>
      </c>
      <c r="W781" s="25"/>
      <c r="X781">
        <v>3.6400000000000002E-2</v>
      </c>
      <c r="Y781" s="1">
        <v>0.31340000000000001</v>
      </c>
      <c r="Z781" s="1">
        <v>0.27260000000000001</v>
      </c>
      <c r="AA781" s="1">
        <v>11573</v>
      </c>
      <c r="AB781" s="1">
        <v>47</v>
      </c>
      <c r="AC781" s="29">
        <v>1975</v>
      </c>
    </row>
    <row r="782" spans="1:29" ht="38.25">
      <c r="A782" s="12">
        <v>54</v>
      </c>
      <c r="B782" s="12" t="s">
        <v>801</v>
      </c>
      <c r="C782" s="12">
        <v>54001</v>
      </c>
      <c r="D782" s="12" t="s">
        <v>811</v>
      </c>
      <c r="E782" s="17">
        <v>0.67679607627826099</v>
      </c>
      <c r="F782" s="17">
        <v>0.32319780056047337</v>
      </c>
      <c r="G782" s="13">
        <v>1</v>
      </c>
      <c r="H782" s="13">
        <v>2.0940549040410739</v>
      </c>
      <c r="I782" s="14">
        <v>13.795192537876044</v>
      </c>
      <c r="J782" s="16">
        <v>0.9234</v>
      </c>
      <c r="K782" s="16">
        <v>0.92259999999999998</v>
      </c>
      <c r="L782" s="13">
        <v>0.56669999999999998</v>
      </c>
      <c r="M782" s="13">
        <v>4.2799999999999998E-2</v>
      </c>
      <c r="N782" s="13">
        <v>8.3299999999999999E-2</v>
      </c>
      <c r="O782" s="13">
        <v>8.1100000000000005E-2</v>
      </c>
      <c r="P782" s="16">
        <v>0</v>
      </c>
      <c r="Q782" s="16">
        <v>0</v>
      </c>
      <c r="R782" s="16"/>
      <c r="S782" s="16">
        <f t="shared" si="26"/>
        <v>0</v>
      </c>
      <c r="T782" s="18">
        <v>1</v>
      </c>
      <c r="U782" s="1">
        <v>7.4686583090000003</v>
      </c>
      <c r="V782" s="1">
        <f t="shared" si="25"/>
        <v>2.1363720910398123</v>
      </c>
      <c r="W782" s="25"/>
      <c r="X782">
        <v>0.17180000000000001</v>
      </c>
      <c r="Y782" s="1">
        <v>2.4613999999999998</v>
      </c>
      <c r="Z782" s="1">
        <v>1.2417</v>
      </c>
      <c r="AA782" s="1">
        <v>790984</v>
      </c>
      <c r="AB782" s="1">
        <v>7498</v>
      </c>
      <c r="AC782" s="29">
        <v>146810</v>
      </c>
    </row>
    <row r="783" spans="1:29" ht="38.25">
      <c r="A783" s="12">
        <v>54</v>
      </c>
      <c r="B783" s="12" t="s">
        <v>801</v>
      </c>
      <c r="C783" s="12">
        <v>54003</v>
      </c>
      <c r="D783" s="12" t="s">
        <v>802</v>
      </c>
      <c r="E783" s="17">
        <v>0.9487703737833324</v>
      </c>
      <c r="F783" s="17">
        <v>5.1229626216667629E-2</v>
      </c>
      <c r="G783" s="13">
        <v>0.9663290293855743</v>
      </c>
      <c r="H783" s="13">
        <v>18.509550561797752</v>
      </c>
      <c r="I783" s="14">
        <v>10.455272761356362</v>
      </c>
      <c r="J783" s="16">
        <v>0.84989999999999999</v>
      </c>
      <c r="K783" s="16">
        <v>0.8498</v>
      </c>
      <c r="L783" s="13">
        <v>0.33200000000000002</v>
      </c>
      <c r="M783" s="13">
        <v>5.1200000000000002E-2</v>
      </c>
      <c r="N783" s="13">
        <v>0.14019999999999999</v>
      </c>
      <c r="O783" s="13">
        <v>9.4799999999999995E-2</v>
      </c>
      <c r="P783" s="16">
        <v>0.44159999999999999</v>
      </c>
      <c r="Q783" s="16">
        <v>0.4113</v>
      </c>
      <c r="R783" s="16">
        <v>0.45189999999999997</v>
      </c>
      <c r="S783" s="16">
        <f t="shared" si="26"/>
        <v>0.43493333333333334</v>
      </c>
      <c r="T783" s="18">
        <v>0.91350414178385608</v>
      </c>
      <c r="U783" s="1">
        <v>9.1743119269999998</v>
      </c>
      <c r="V783" s="1">
        <f t="shared" si="25"/>
        <v>2.3198661051599969</v>
      </c>
      <c r="W783" s="26"/>
      <c r="X783">
        <v>5.6800000000000003E-2</v>
      </c>
      <c r="Y783" s="1">
        <v>4.8399999999999999E-2</v>
      </c>
      <c r="Z783" s="1">
        <v>4.7199999999999999E-2</v>
      </c>
      <c r="AA783" s="1">
        <v>35875</v>
      </c>
      <c r="AB783" s="1">
        <v>327</v>
      </c>
      <c r="AC783" s="29">
        <v>7929</v>
      </c>
    </row>
    <row r="784" spans="1:29" ht="38.25">
      <c r="A784" s="12">
        <v>54</v>
      </c>
      <c r="B784" s="12" t="s">
        <v>801</v>
      </c>
      <c r="C784" s="12">
        <v>54051</v>
      </c>
      <c r="D784" s="12" t="s">
        <v>803</v>
      </c>
      <c r="E784" s="17">
        <v>0.92796248934356351</v>
      </c>
      <c r="F784" s="17">
        <v>7.2037510656436488E-2</v>
      </c>
      <c r="G784" s="13">
        <v>0.85092491838955386</v>
      </c>
      <c r="H784" s="13">
        <v>12.862629246676514</v>
      </c>
      <c r="I784" s="14">
        <v>9.14686794902061</v>
      </c>
      <c r="J784" s="16">
        <v>0.71140000000000003</v>
      </c>
      <c r="K784" s="16">
        <v>0.71140000000000003</v>
      </c>
      <c r="L784" s="13">
        <v>0.43509999999999999</v>
      </c>
      <c r="M784" s="13">
        <v>3.0099999999999998E-2</v>
      </c>
      <c r="N784" s="13">
        <v>7.4700000000000003E-2</v>
      </c>
      <c r="O784" s="13">
        <v>5.6000000000000001E-2</v>
      </c>
      <c r="P784" s="16">
        <v>0.20350000000000001</v>
      </c>
      <c r="Q784" s="16">
        <v>0.20350000000000001</v>
      </c>
      <c r="R784" s="16">
        <v>0.20350000000000001</v>
      </c>
      <c r="S784" s="16">
        <f t="shared" si="26"/>
        <v>0.20350000000000001</v>
      </c>
      <c r="T784" s="18">
        <v>0.57903960743077398</v>
      </c>
      <c r="U784" s="1">
        <v>15.15151515</v>
      </c>
      <c r="V784" s="1">
        <f t="shared" si="25"/>
        <v>2.7820138626055559</v>
      </c>
      <c r="W784" s="25"/>
      <c r="X784">
        <v>3.7100000000000001E-2</v>
      </c>
      <c r="Y784" s="1">
        <v>1.9699999999999999E-2</v>
      </c>
      <c r="Z784" s="1">
        <v>1.95E-2</v>
      </c>
      <c r="AA784" s="1">
        <v>10559</v>
      </c>
      <c r="AB784" s="1">
        <v>66</v>
      </c>
      <c r="AC784" s="29">
        <v>2141</v>
      </c>
    </row>
    <row r="785" spans="1:29" ht="38.25">
      <c r="A785" s="12">
        <v>54</v>
      </c>
      <c r="B785" s="12" t="s">
        <v>801</v>
      </c>
      <c r="C785" s="12">
        <v>54099</v>
      </c>
      <c r="D785" s="12" t="s">
        <v>804</v>
      </c>
      <c r="E785" s="17">
        <v>0.85624573378839586</v>
      </c>
      <c r="F785" s="17">
        <v>0.14375426621160409</v>
      </c>
      <c r="G785" s="13">
        <v>0.78050079914757597</v>
      </c>
      <c r="H785" s="13">
        <v>5.9506641366223905</v>
      </c>
      <c r="I785" s="14">
        <v>8.89918494333876</v>
      </c>
      <c r="J785" s="16">
        <v>0.74080000000000001</v>
      </c>
      <c r="K785" s="16">
        <v>0.74080000000000001</v>
      </c>
      <c r="L785" s="13">
        <v>0.46150000000000002</v>
      </c>
      <c r="M785" s="13">
        <v>3.61E-2</v>
      </c>
      <c r="N785" s="13">
        <v>7.3499999999999996E-2</v>
      </c>
      <c r="O785" s="13">
        <v>6.7699999999999996E-2</v>
      </c>
      <c r="P785" s="16">
        <v>0.45950000000000002</v>
      </c>
      <c r="Q785" s="16">
        <v>0.45950000000000002</v>
      </c>
      <c r="R785" s="16">
        <v>0.50319999999999998</v>
      </c>
      <c r="S785" s="16">
        <f t="shared" si="26"/>
        <v>0.47406666666666669</v>
      </c>
      <c r="T785" s="18">
        <v>0.67916666666666603</v>
      </c>
      <c r="U785" s="1">
        <v>24.390243900000002</v>
      </c>
      <c r="V785" s="1">
        <f t="shared" si="25"/>
        <v>3.2343650018145995</v>
      </c>
      <c r="W785" s="26"/>
      <c r="X785">
        <v>0.10290000000000001</v>
      </c>
      <c r="Y785" s="1">
        <v>0.24840000000000001</v>
      </c>
      <c r="Z785" s="1">
        <v>0.2218</v>
      </c>
      <c r="AA785" s="1">
        <v>9467</v>
      </c>
      <c r="AB785" s="1">
        <v>41</v>
      </c>
      <c r="AC785" s="29">
        <v>1748</v>
      </c>
    </row>
    <row r="786" spans="1:29" ht="38.25">
      <c r="A786" s="12">
        <v>54</v>
      </c>
      <c r="B786" s="12" t="s">
        <v>801</v>
      </c>
      <c r="C786" s="12">
        <v>54109</v>
      </c>
      <c r="D786" s="12" t="s">
        <v>805</v>
      </c>
      <c r="E786" s="17">
        <v>0.93222150951464611</v>
      </c>
      <c r="F786" s="17">
        <v>6.7778490485353865E-2</v>
      </c>
      <c r="G786" s="13">
        <v>0.64394878149524992</v>
      </c>
      <c r="H786" s="13">
        <v>13.710691823899371</v>
      </c>
      <c r="I786" s="14">
        <v>8.4506259471441236</v>
      </c>
      <c r="J786" s="16">
        <v>0.60150000000000003</v>
      </c>
      <c r="K786" s="16">
        <v>0.60150000000000003</v>
      </c>
      <c r="L786" s="13">
        <v>0.29620000000000002</v>
      </c>
      <c r="M786" s="13">
        <v>2.8799999999999999E-2</v>
      </c>
      <c r="N786" s="13">
        <v>9.01E-2</v>
      </c>
      <c r="O786" s="13">
        <v>2.3199999999999998E-2</v>
      </c>
      <c r="P786" s="16">
        <v>0.46</v>
      </c>
      <c r="Q786" s="16">
        <v>0.3427</v>
      </c>
      <c r="R786" s="16">
        <v>0.3427</v>
      </c>
      <c r="S786" s="16">
        <f t="shared" si="26"/>
        <v>0.38179999999999997</v>
      </c>
      <c r="T786" s="18">
        <v>0.54930966469428</v>
      </c>
      <c r="U786" s="1">
        <v>0</v>
      </c>
      <c r="V786" s="1">
        <f t="shared" si="25"/>
        <v>0</v>
      </c>
      <c r="W786" s="25"/>
      <c r="X786">
        <v>2.5499999999999998E-2</v>
      </c>
      <c r="Y786" s="1">
        <v>1.6E-2</v>
      </c>
      <c r="Z786" s="1">
        <v>1.5900000000000001E-2</v>
      </c>
      <c r="AA786" s="1">
        <v>7559</v>
      </c>
      <c r="AB786" s="1">
        <v>27</v>
      </c>
      <c r="AC786" s="29">
        <v>1801</v>
      </c>
    </row>
    <row r="787" spans="1:29" ht="38.25">
      <c r="A787" s="12">
        <v>54</v>
      </c>
      <c r="B787" s="12" t="s">
        <v>801</v>
      </c>
      <c r="C787" s="12">
        <v>54125</v>
      </c>
      <c r="D787" s="12" t="s">
        <v>807</v>
      </c>
      <c r="E787" s="17">
        <v>0.92153846153846153</v>
      </c>
      <c r="F787" s="17">
        <v>7.8461538461538458E-2</v>
      </c>
      <c r="G787" s="13">
        <v>1</v>
      </c>
      <c r="H787" s="13">
        <v>11.69921875</v>
      </c>
      <c r="I787" s="14">
        <v>8.0867179203039061</v>
      </c>
      <c r="J787" s="16">
        <v>0.78949999999999998</v>
      </c>
      <c r="K787" s="16">
        <v>0.78949999999999998</v>
      </c>
      <c r="L787" s="13">
        <v>0.29349999999999998</v>
      </c>
      <c r="M787" s="13">
        <v>1.0200000000000001E-2</v>
      </c>
      <c r="N787" s="13">
        <v>0.127</v>
      </c>
      <c r="O787" s="13">
        <v>7.9899999999999999E-2</v>
      </c>
      <c r="P787" s="16">
        <v>0.18469999999999998</v>
      </c>
      <c r="Q787" s="16">
        <v>0.18469999999999998</v>
      </c>
      <c r="R787" s="16">
        <v>0.18469999999999998</v>
      </c>
      <c r="S787" s="16">
        <f t="shared" si="26"/>
        <v>0.18469999999999998</v>
      </c>
      <c r="T787" s="18">
        <v>0.88286066584463596</v>
      </c>
      <c r="U787" s="1">
        <v>0</v>
      </c>
      <c r="V787" s="1">
        <f t="shared" si="25"/>
        <v>0</v>
      </c>
      <c r="W787" s="25"/>
      <c r="X787">
        <v>3.8399999999999997E-2</v>
      </c>
      <c r="Y787" s="1">
        <v>6.13E-2</v>
      </c>
      <c r="Z787" s="1">
        <v>5.9499999999999997E-2</v>
      </c>
      <c r="AA787" s="1">
        <v>3121</v>
      </c>
      <c r="AB787" s="1">
        <v>21</v>
      </c>
      <c r="AC787" s="29">
        <v>584</v>
      </c>
    </row>
    <row r="788" spans="1:29" ht="38.25">
      <c r="A788" s="12">
        <v>54</v>
      </c>
      <c r="B788" s="12" t="s">
        <v>801</v>
      </c>
      <c r="C788" s="12">
        <v>54128</v>
      </c>
      <c r="D788" s="12" t="s">
        <v>806</v>
      </c>
      <c r="E788" s="17">
        <v>0.95458515283842793</v>
      </c>
      <c r="F788" s="17">
        <v>4.5414847161572056E-2</v>
      </c>
      <c r="G788" s="13">
        <v>0.64119999999999999</v>
      </c>
      <c r="H788" s="13">
        <v>20.961643835616439</v>
      </c>
      <c r="I788" s="14">
        <v>8.9891948233246453</v>
      </c>
      <c r="J788" s="16">
        <v>0.59460000000000002</v>
      </c>
      <c r="K788" s="16">
        <v>0.59460000000000002</v>
      </c>
      <c r="L788" s="13">
        <v>0.30659999999999998</v>
      </c>
      <c r="M788" s="13">
        <v>3.4700000000000002E-2</v>
      </c>
      <c r="N788" s="13">
        <v>8.9099999999999999E-2</v>
      </c>
      <c r="O788" s="13">
        <v>5.3199999999999997E-2</v>
      </c>
      <c r="P788" s="16">
        <v>0.3614</v>
      </c>
      <c r="Q788" s="16">
        <v>0.32439999999999997</v>
      </c>
      <c r="R788" s="16">
        <v>0.39380000000000004</v>
      </c>
      <c r="S788" s="16">
        <f t="shared" si="26"/>
        <v>0.35986666666666672</v>
      </c>
      <c r="T788" s="18">
        <v>0.82938659058487796</v>
      </c>
      <c r="U788" s="1">
        <v>0</v>
      </c>
      <c r="V788" s="1">
        <f t="shared" si="25"/>
        <v>0</v>
      </c>
      <c r="W788" s="26"/>
      <c r="X788">
        <v>1.4800000000000001E-2</v>
      </c>
      <c r="Y788" s="1">
        <v>2.8299999999999999E-2</v>
      </c>
      <c r="Z788" s="1">
        <v>2.7900000000000001E-2</v>
      </c>
      <c r="AA788" s="1">
        <v>12099</v>
      </c>
      <c r="AB788" s="1">
        <v>56</v>
      </c>
      <c r="AC788" s="29">
        <v>2628</v>
      </c>
    </row>
    <row r="789" spans="1:29" ht="38.25">
      <c r="A789" s="12">
        <v>54</v>
      </c>
      <c r="B789" s="12" t="s">
        <v>801</v>
      </c>
      <c r="C789" s="12">
        <v>54172</v>
      </c>
      <c r="D789" s="12" t="s">
        <v>808</v>
      </c>
      <c r="E789" s="17">
        <v>0.85058027079303677</v>
      </c>
      <c r="F789" s="17">
        <v>0.14941972920696325</v>
      </c>
      <c r="G789" s="13">
        <v>0.83366087175610981</v>
      </c>
      <c r="H789" s="13">
        <v>5.6902547513141934</v>
      </c>
      <c r="I789" s="14">
        <v>9.7138392203557125</v>
      </c>
      <c r="J789" s="16">
        <v>0.87390000000000001</v>
      </c>
      <c r="K789" s="16">
        <v>0.87360000000000004</v>
      </c>
      <c r="L789" s="13">
        <v>0.50829999999999997</v>
      </c>
      <c r="M789" s="13">
        <v>3.5200000000000002E-2</v>
      </c>
      <c r="N789" s="13">
        <v>8.3400000000000002E-2</v>
      </c>
      <c r="O789" s="13">
        <v>5.1900000000000002E-2</v>
      </c>
      <c r="P789" s="16">
        <v>0.4854</v>
      </c>
      <c r="Q789" s="16">
        <v>0.46009999999999995</v>
      </c>
      <c r="R789" s="16">
        <v>0.48420000000000002</v>
      </c>
      <c r="S789" s="16">
        <f t="shared" si="26"/>
        <v>0.47656666666666664</v>
      </c>
      <c r="T789" s="18">
        <v>0.96082802547770696</v>
      </c>
      <c r="U789" s="1">
        <v>8.6206896549999996</v>
      </c>
      <c r="V789" s="1">
        <f t="shared" si="25"/>
        <v>2.2639159518169705</v>
      </c>
      <c r="W789" s="26"/>
      <c r="X789">
        <v>6.9699999999999998E-2</v>
      </c>
      <c r="Y789" s="1">
        <v>0.95150000000000001</v>
      </c>
      <c r="Z789" s="1">
        <v>0.66859999999999997</v>
      </c>
      <c r="AA789" s="1">
        <v>20021</v>
      </c>
      <c r="AB789" s="1">
        <v>116</v>
      </c>
      <c r="AC789" s="29">
        <v>3648</v>
      </c>
    </row>
    <row r="790" spans="1:29" ht="38.25">
      <c r="A790" s="12">
        <v>54</v>
      </c>
      <c r="B790" s="12" t="s">
        <v>801</v>
      </c>
      <c r="C790" s="12">
        <v>54174</v>
      </c>
      <c r="D790" s="12" t="s">
        <v>809</v>
      </c>
      <c r="E790" s="17">
        <v>0.94130185276274803</v>
      </c>
      <c r="F790" s="17">
        <v>5.8698147237252009E-2</v>
      </c>
      <c r="G790" s="13">
        <v>0.91507876969242308</v>
      </c>
      <c r="H790" s="13">
        <v>16.013947001394701</v>
      </c>
      <c r="I790" s="14">
        <v>9.4091092601487372</v>
      </c>
      <c r="J790" s="16">
        <v>0.70050000000000001</v>
      </c>
      <c r="K790" s="16">
        <v>0.70050000000000001</v>
      </c>
      <c r="L790" s="13">
        <v>0.36670000000000003</v>
      </c>
      <c r="M790" s="13">
        <v>2.0400000000000001E-2</v>
      </c>
      <c r="N790" s="13">
        <v>9.9099999999999994E-2</v>
      </c>
      <c r="O790" s="13">
        <v>8.1199999999999994E-2</v>
      </c>
      <c r="P790" s="16">
        <v>0.3322</v>
      </c>
      <c r="Q790" s="16">
        <v>0.32219999999999999</v>
      </c>
      <c r="R790" s="16">
        <v>0.36399999999999999</v>
      </c>
      <c r="S790" s="16">
        <f t="shared" si="26"/>
        <v>0.33946666666666664</v>
      </c>
      <c r="T790" s="18">
        <v>0.71867190289182403</v>
      </c>
      <c r="U790" s="1">
        <v>46.15384615</v>
      </c>
      <c r="V790" s="1">
        <f t="shared" si="25"/>
        <v>3.8534155783931086</v>
      </c>
      <c r="W790" s="25"/>
      <c r="X790">
        <v>2.9100000000000001E-2</v>
      </c>
      <c r="Y790" s="1">
        <v>2.5100000000000001E-2</v>
      </c>
      <c r="Z790" s="1">
        <v>2.4799999999999999E-2</v>
      </c>
      <c r="AA790" s="1">
        <v>13208</v>
      </c>
      <c r="AB790" s="1">
        <v>65</v>
      </c>
      <c r="AC790" s="29">
        <v>2738</v>
      </c>
    </row>
    <row r="791" spans="1:29" ht="38.25">
      <c r="A791" s="12">
        <v>54</v>
      </c>
      <c r="B791" s="12" t="s">
        <v>801</v>
      </c>
      <c r="C791" s="12">
        <v>54206</v>
      </c>
      <c r="D791" s="12" t="s">
        <v>810</v>
      </c>
      <c r="E791" s="17">
        <v>0.95470787059391593</v>
      </c>
      <c r="F791" s="17">
        <v>4.5292129406084014E-2</v>
      </c>
      <c r="G791" s="13">
        <v>0.97804014167650533</v>
      </c>
      <c r="H791" s="13">
        <v>21.056443024494143</v>
      </c>
      <c r="I791" s="14">
        <v>9.9384202390761516</v>
      </c>
      <c r="J791" s="16">
        <v>0.84830000000000005</v>
      </c>
      <c r="K791" s="16">
        <v>0.84809999999999997</v>
      </c>
      <c r="L791" s="13">
        <v>0.34310000000000002</v>
      </c>
      <c r="M791" s="13">
        <v>3.9699999999999999E-2</v>
      </c>
      <c r="N791" s="13">
        <v>0.10589999999999999</v>
      </c>
      <c r="O791" s="13">
        <v>5.67E-2</v>
      </c>
      <c r="P791" s="16">
        <v>0.36619999999999997</v>
      </c>
      <c r="Q791" s="16">
        <v>0.34329999999999999</v>
      </c>
      <c r="R791" s="16">
        <v>0.36619999999999997</v>
      </c>
      <c r="S791" s="16">
        <f t="shared" si="26"/>
        <v>0.35856666666666664</v>
      </c>
      <c r="T791" s="18">
        <v>1</v>
      </c>
      <c r="U791" s="1">
        <v>8.8105726870000005</v>
      </c>
      <c r="V791" s="1">
        <f t="shared" si="25"/>
        <v>2.2834606497530641</v>
      </c>
      <c r="W791" s="26"/>
      <c r="X791">
        <v>2.4899999999999999E-2</v>
      </c>
      <c r="Y791" s="1">
        <v>2.86E-2</v>
      </c>
      <c r="Z791" s="1">
        <v>2.8199999999999999E-2</v>
      </c>
      <c r="AA791" s="1">
        <v>20973</v>
      </c>
      <c r="AB791" s="1">
        <v>227</v>
      </c>
      <c r="AC791" s="29">
        <v>5035</v>
      </c>
    </row>
    <row r="792" spans="1:29" ht="38.25">
      <c r="A792" s="12">
        <v>54</v>
      </c>
      <c r="B792" s="12" t="s">
        <v>801</v>
      </c>
      <c r="C792" s="12">
        <v>54223</v>
      </c>
      <c r="D792" s="12" t="s">
        <v>812</v>
      </c>
      <c r="E792" s="17">
        <v>0.92452830188679247</v>
      </c>
      <c r="F792" s="17">
        <v>7.5471698113207544E-2</v>
      </c>
      <c r="G792" s="13">
        <v>0.91379310344827591</v>
      </c>
      <c r="H792" s="13">
        <v>12.230889235569423</v>
      </c>
      <c r="I792" s="14">
        <v>9.0455836463617008</v>
      </c>
      <c r="J792" s="16">
        <v>0.64539999999999997</v>
      </c>
      <c r="K792" s="16">
        <v>0.64539999999999997</v>
      </c>
      <c r="L792" s="13">
        <v>0.371</v>
      </c>
      <c r="M792" s="13">
        <v>1.0699999999999999E-2</v>
      </c>
      <c r="N792" s="13">
        <v>4.0300000000000002E-2</v>
      </c>
      <c r="O792" s="13">
        <v>4.0300000000000002E-2</v>
      </c>
      <c r="P792" s="16">
        <v>0.1636</v>
      </c>
      <c r="Q792" s="16">
        <v>0.1726</v>
      </c>
      <c r="R792" s="16">
        <v>0.1726</v>
      </c>
      <c r="S792" s="16">
        <f t="shared" si="26"/>
        <v>0.1696</v>
      </c>
      <c r="T792" s="18">
        <v>0.77808112324492895</v>
      </c>
      <c r="U792" s="1">
        <v>16.94915254</v>
      </c>
      <c r="V792" s="1">
        <f t="shared" si="25"/>
        <v>2.8875429015634868</v>
      </c>
      <c r="W792" s="26"/>
      <c r="X792">
        <v>1.7100000000000001E-2</v>
      </c>
      <c r="Y792" s="1">
        <v>2.2100000000000002E-2</v>
      </c>
      <c r="Z792" s="1">
        <v>2.1899999999999999E-2</v>
      </c>
      <c r="AA792" s="1">
        <v>8603</v>
      </c>
      <c r="AB792" s="1">
        <v>118</v>
      </c>
      <c r="AC792" s="29">
        <v>1670</v>
      </c>
    </row>
    <row r="793" spans="1:29" ht="38.25">
      <c r="A793" s="12">
        <v>54</v>
      </c>
      <c r="B793" s="12" t="s">
        <v>801</v>
      </c>
      <c r="C793" s="12">
        <v>54239</v>
      </c>
      <c r="D793" s="12" t="s">
        <v>813</v>
      </c>
      <c r="E793" s="17">
        <v>0.88354577056778683</v>
      </c>
      <c r="F793" s="17">
        <v>0.11645422943221322</v>
      </c>
      <c r="G793" s="13">
        <v>0.99634404464113913</v>
      </c>
      <c r="H793" s="13">
        <v>7.5745033112582778</v>
      </c>
      <c r="I793" s="14">
        <v>8.5523672664238912</v>
      </c>
      <c r="J793" s="16">
        <v>0.89710000000000001</v>
      </c>
      <c r="K793" s="16">
        <v>0.89710000000000001</v>
      </c>
      <c r="L793" s="13">
        <v>0.45639999999999997</v>
      </c>
      <c r="M793" s="13">
        <v>4.9500000000000002E-2</v>
      </c>
      <c r="N793" s="13">
        <v>5.5300000000000002E-2</v>
      </c>
      <c r="O793" s="13">
        <v>6.9099999999999995E-2</v>
      </c>
      <c r="P793" s="16">
        <v>0.40350000000000003</v>
      </c>
      <c r="Q793" s="16">
        <v>0.41850000000000004</v>
      </c>
      <c r="R793" s="16">
        <v>0.42049999999999998</v>
      </c>
      <c r="S793" s="16">
        <f t="shared" si="26"/>
        <v>0.41416666666666674</v>
      </c>
      <c r="T793" s="18">
        <v>1</v>
      </c>
      <c r="U793" s="1">
        <v>0</v>
      </c>
      <c r="V793" s="1">
        <f t="shared" si="25"/>
        <v>0</v>
      </c>
      <c r="W793" s="25"/>
      <c r="X793">
        <v>3.7900000000000003E-2</v>
      </c>
      <c r="Y793" s="1">
        <v>0.13189999999999999</v>
      </c>
      <c r="Z793" s="1">
        <v>0.1239</v>
      </c>
      <c r="AA793" s="1">
        <v>5044</v>
      </c>
      <c r="AB793" s="1">
        <v>38</v>
      </c>
      <c r="AC793" s="29">
        <v>883</v>
      </c>
    </row>
    <row r="794" spans="1:29" ht="38.25">
      <c r="A794" s="12">
        <v>54</v>
      </c>
      <c r="B794" s="12" t="s">
        <v>801</v>
      </c>
      <c r="C794" s="12">
        <v>54245</v>
      </c>
      <c r="D794" s="12" t="s">
        <v>473</v>
      </c>
      <c r="E794" s="17">
        <v>0.94431522780134081</v>
      </c>
      <c r="F794" s="17">
        <v>5.5684772198659187E-2</v>
      </c>
      <c r="G794" s="13">
        <v>0.96936339522546422</v>
      </c>
      <c r="H794" s="13">
        <v>16.937423312883435</v>
      </c>
      <c r="I794" s="14">
        <v>9.5900773315116155</v>
      </c>
      <c r="J794" s="16">
        <v>0.78590000000000004</v>
      </c>
      <c r="K794" s="16">
        <v>0.7853</v>
      </c>
      <c r="L794" s="13">
        <v>0.2296</v>
      </c>
      <c r="M794" s="13">
        <v>4.6300000000000001E-2</v>
      </c>
      <c r="N794" s="13">
        <v>0.104</v>
      </c>
      <c r="O794" s="13">
        <v>0.1109</v>
      </c>
      <c r="P794" s="16">
        <v>0.33539999999999998</v>
      </c>
      <c r="Q794" s="16">
        <v>0.3357</v>
      </c>
      <c r="R794" s="16">
        <v>0.37560000000000004</v>
      </c>
      <c r="S794" s="16">
        <f t="shared" si="26"/>
        <v>0.34889999999999999</v>
      </c>
      <c r="T794" s="18">
        <v>0.83471837488457989</v>
      </c>
      <c r="U794" s="1">
        <v>13.88888889</v>
      </c>
      <c r="V794" s="1">
        <f t="shared" si="25"/>
        <v>2.700615222689319</v>
      </c>
      <c r="W794" s="26"/>
      <c r="X794">
        <v>1.5100000000000001E-2</v>
      </c>
      <c r="Y794" s="1">
        <v>2.23E-2</v>
      </c>
      <c r="Z794" s="1">
        <v>2.1999999999999999E-2</v>
      </c>
      <c r="AA794" s="1">
        <v>14851</v>
      </c>
      <c r="AB794" s="1">
        <v>144</v>
      </c>
      <c r="AC794" s="29">
        <v>3461</v>
      </c>
    </row>
    <row r="795" spans="1:29" ht="38.25">
      <c r="A795" s="12">
        <v>54</v>
      </c>
      <c r="B795" s="12" t="s">
        <v>801</v>
      </c>
      <c r="C795" s="12">
        <v>54250</v>
      </c>
      <c r="D795" s="12" t="s">
        <v>814</v>
      </c>
      <c r="E795" s="17">
        <v>0.97838025990099009</v>
      </c>
      <c r="F795" s="17">
        <v>2.1619740099009899E-2</v>
      </c>
      <c r="G795" s="13">
        <v>1</v>
      </c>
      <c r="H795" s="13">
        <v>45.173214285714288</v>
      </c>
      <c r="I795" s="14">
        <v>10.16033663631551</v>
      </c>
      <c r="J795" s="16">
        <v>1.0149999999999999</v>
      </c>
      <c r="K795" s="16">
        <v>1.0147999999999999</v>
      </c>
      <c r="L795" s="13">
        <v>0.371</v>
      </c>
      <c r="M795" s="13">
        <v>5.16E-2</v>
      </c>
      <c r="N795" s="13">
        <v>8.2699999999999996E-2</v>
      </c>
      <c r="O795" s="13">
        <v>7.6100000000000001E-2</v>
      </c>
      <c r="P795" s="16">
        <v>0.50180000000000002</v>
      </c>
      <c r="Q795" s="16">
        <v>0.50139999999999996</v>
      </c>
      <c r="R795" s="16">
        <v>0.68129999999999991</v>
      </c>
      <c r="S795" s="16">
        <f t="shared" si="26"/>
        <v>0.5615</v>
      </c>
      <c r="T795" s="18">
        <v>1</v>
      </c>
      <c r="U795" s="1">
        <v>3.012048193</v>
      </c>
      <c r="V795" s="1">
        <f t="shared" si="25"/>
        <v>1.3893018822409029</v>
      </c>
      <c r="W795" s="25"/>
      <c r="X795">
        <v>2.6800000000000001E-2</v>
      </c>
      <c r="Y795" s="1">
        <v>5.62E-2</v>
      </c>
      <c r="Z795" s="1">
        <v>5.4699999999999999E-2</v>
      </c>
      <c r="AA795" s="1">
        <v>26769</v>
      </c>
      <c r="AB795" s="1">
        <v>332</v>
      </c>
      <c r="AC795" s="29">
        <v>7037</v>
      </c>
    </row>
    <row r="796" spans="1:29" ht="38.25">
      <c r="A796" s="12">
        <v>54</v>
      </c>
      <c r="B796" s="12" t="s">
        <v>801</v>
      </c>
      <c r="C796" s="12">
        <v>54261</v>
      </c>
      <c r="D796" s="12" t="s">
        <v>815</v>
      </c>
      <c r="E796" s="17">
        <v>0.8782115832781886</v>
      </c>
      <c r="F796" s="17">
        <v>0.12178841672181144</v>
      </c>
      <c r="G796" s="13">
        <v>1</v>
      </c>
      <c r="H796" s="13">
        <v>7.2092583845063771</v>
      </c>
      <c r="I796" s="14">
        <v>10.456165040324679</v>
      </c>
      <c r="J796" s="16">
        <v>0.91739999999999999</v>
      </c>
      <c r="K796" s="16">
        <v>0.91739999999999999</v>
      </c>
      <c r="L796" s="13">
        <v>0.4541</v>
      </c>
      <c r="M796" s="13">
        <v>5.79E-2</v>
      </c>
      <c r="N796" s="13">
        <v>0.1</v>
      </c>
      <c r="O796" s="13">
        <v>6.8000000000000005E-2</v>
      </c>
      <c r="P796" s="16">
        <v>1</v>
      </c>
      <c r="Q796" s="16">
        <v>1</v>
      </c>
      <c r="R796" s="16">
        <v>1</v>
      </c>
      <c r="S796" s="16">
        <f t="shared" si="26"/>
        <v>1</v>
      </c>
      <c r="T796" s="18">
        <v>1</v>
      </c>
      <c r="U796" s="1">
        <v>8.6206896549999996</v>
      </c>
      <c r="V796" s="1">
        <f t="shared" si="25"/>
        <v>2.2639159518169705</v>
      </c>
      <c r="W796" s="26"/>
      <c r="X796">
        <v>8.6499999999999994E-2</v>
      </c>
      <c r="Y796" s="1">
        <v>0.43840000000000001</v>
      </c>
      <c r="Z796" s="1">
        <v>0.36359999999999998</v>
      </c>
      <c r="AA796" s="1">
        <v>31482</v>
      </c>
      <c r="AB796" s="1">
        <v>348</v>
      </c>
      <c r="AC796" s="29">
        <v>6844</v>
      </c>
    </row>
    <row r="797" spans="1:29" ht="38.25">
      <c r="A797" s="12">
        <v>54</v>
      </c>
      <c r="B797" s="12" t="s">
        <v>801</v>
      </c>
      <c r="C797" s="12">
        <v>54313</v>
      </c>
      <c r="D797" s="12" t="s">
        <v>816</v>
      </c>
      <c r="E797" s="17">
        <v>0.89503311258278151</v>
      </c>
      <c r="F797" s="17">
        <v>0.10496688741721855</v>
      </c>
      <c r="G797" s="13">
        <v>0.72369997603642466</v>
      </c>
      <c r="H797" s="13">
        <v>8.5133858267716533</v>
      </c>
      <c r="I797" s="14">
        <v>8.7063248401387412</v>
      </c>
      <c r="J797" s="16">
        <v>0.72960000000000003</v>
      </c>
      <c r="K797" s="16">
        <v>0.72960000000000003</v>
      </c>
      <c r="L797" s="13">
        <v>0.51570000000000005</v>
      </c>
      <c r="M797" s="13">
        <v>2.0799999999999999E-2</v>
      </c>
      <c r="N797" s="13">
        <v>5.0099999999999999E-2</v>
      </c>
      <c r="O797" s="13">
        <v>2.6499999999999999E-2</v>
      </c>
      <c r="P797" s="16">
        <v>0.28160000000000002</v>
      </c>
      <c r="Q797" s="16">
        <v>0.28160000000000002</v>
      </c>
      <c r="R797" s="16">
        <v>0.28160000000000002</v>
      </c>
      <c r="S797" s="16">
        <f t="shared" si="26"/>
        <v>0.28160000000000002</v>
      </c>
      <c r="T797" s="18">
        <v>0.91975308641975306</v>
      </c>
      <c r="U797" s="1">
        <v>0</v>
      </c>
      <c r="V797" s="1">
        <f t="shared" si="25"/>
        <v>0</v>
      </c>
      <c r="W797" s="25"/>
      <c r="X797">
        <v>1.95E-2</v>
      </c>
      <c r="Y797" s="1">
        <v>0.20250000000000001</v>
      </c>
      <c r="Z797" s="1">
        <v>0.18440000000000001</v>
      </c>
      <c r="AA797" s="1">
        <v>8430</v>
      </c>
      <c r="AB797" s="1">
        <v>61</v>
      </c>
      <c r="AC797" s="29">
        <v>1423</v>
      </c>
    </row>
    <row r="798" spans="1:29" ht="38.25">
      <c r="A798" s="12">
        <v>54</v>
      </c>
      <c r="B798" s="12" t="s">
        <v>801</v>
      </c>
      <c r="C798" s="12">
        <v>54344</v>
      </c>
      <c r="D798" s="12" t="s">
        <v>817</v>
      </c>
      <c r="E798" s="17">
        <v>0.9726027397260274</v>
      </c>
      <c r="F798" s="17">
        <v>2.7397260273972601E-2</v>
      </c>
      <c r="G798" s="13">
        <v>1.0041526083571244</v>
      </c>
      <c r="H798" s="13">
        <v>35.388714733542322</v>
      </c>
      <c r="I798" s="14">
        <v>9.3594497945640232</v>
      </c>
      <c r="J798" s="16">
        <v>0.79859999999999998</v>
      </c>
      <c r="K798" s="16">
        <v>0.79820000000000002</v>
      </c>
      <c r="L798" s="13">
        <v>0.24560000000000001</v>
      </c>
      <c r="M798" s="13">
        <v>2.9399999999999999E-2</v>
      </c>
      <c r="N798" s="13">
        <v>5.3100000000000001E-2</v>
      </c>
      <c r="O798" s="13">
        <v>2.1700000000000001E-2</v>
      </c>
      <c r="P798" s="16">
        <v>0.14169999999999999</v>
      </c>
      <c r="Q798" s="16">
        <v>0.14169999999999999</v>
      </c>
      <c r="R798" s="16">
        <v>0.19010000000000002</v>
      </c>
      <c r="S798" s="16">
        <f t="shared" si="26"/>
        <v>0.15783333333333335</v>
      </c>
      <c r="T798" s="18">
        <v>1</v>
      </c>
      <c r="U798" s="1">
        <v>0</v>
      </c>
      <c r="V798" s="1">
        <f t="shared" si="25"/>
        <v>0</v>
      </c>
      <c r="W798" s="26"/>
      <c r="X798">
        <v>1.1900000000000001E-2</v>
      </c>
      <c r="Y798" s="1">
        <v>1.9599999999999999E-2</v>
      </c>
      <c r="Z798" s="1">
        <v>1.9400000000000001E-2</v>
      </c>
      <c r="AA798" s="1">
        <v>10775</v>
      </c>
      <c r="AB798" s="1">
        <v>101</v>
      </c>
      <c r="AC798" s="29">
        <v>2857</v>
      </c>
    </row>
    <row r="799" spans="1:29" ht="38.25">
      <c r="A799" s="12">
        <v>54</v>
      </c>
      <c r="B799" s="12" t="s">
        <v>801</v>
      </c>
      <c r="C799" s="12">
        <v>54347</v>
      </c>
      <c r="D799" s="12" t="s">
        <v>818</v>
      </c>
      <c r="E799" s="17">
        <v>0.94508731327582585</v>
      </c>
      <c r="F799" s="17">
        <v>5.4912686724174209E-2</v>
      </c>
      <c r="G799" s="13">
        <v>0.60617268205586017</v>
      </c>
      <c r="H799" s="13">
        <v>17.145038167938932</v>
      </c>
      <c r="I799" s="14">
        <v>8.4667416479201396</v>
      </c>
      <c r="J799" s="16">
        <v>0.42759999999999998</v>
      </c>
      <c r="K799" s="16">
        <v>0.42759999999999998</v>
      </c>
      <c r="L799" s="13">
        <v>0.28789999999999999</v>
      </c>
      <c r="M799" s="13">
        <v>2.5999999999999999E-2</v>
      </c>
      <c r="N799" s="13">
        <v>2.4299999999999999E-2</v>
      </c>
      <c r="O799" s="13">
        <v>3.8199999999999998E-2</v>
      </c>
      <c r="P799" s="16">
        <v>0.22899999999999998</v>
      </c>
      <c r="Q799" s="16">
        <v>0.19940000000000002</v>
      </c>
      <c r="R799" s="16">
        <v>0.19940000000000002</v>
      </c>
      <c r="S799" s="16">
        <f t="shared" si="26"/>
        <v>0.20926666666666668</v>
      </c>
      <c r="T799" s="18">
        <v>0.389649923896499</v>
      </c>
      <c r="U799" s="1">
        <v>0</v>
      </c>
      <c r="V799" s="1">
        <f t="shared" si="25"/>
        <v>0</v>
      </c>
      <c r="W799" s="25"/>
      <c r="X799">
        <v>1.38E-2</v>
      </c>
      <c r="Y799" s="1">
        <v>6.9699999999999998E-2</v>
      </c>
      <c r="Z799" s="1">
        <v>6.7299999999999999E-2</v>
      </c>
      <c r="AA799" s="1">
        <v>8388</v>
      </c>
      <c r="AB799" s="1">
        <v>17</v>
      </c>
      <c r="AC799" s="29">
        <v>1388</v>
      </c>
    </row>
    <row r="800" spans="1:29" ht="38.25">
      <c r="A800" s="12">
        <v>54</v>
      </c>
      <c r="B800" s="12" t="s">
        <v>801</v>
      </c>
      <c r="C800" s="12">
        <v>54377</v>
      </c>
      <c r="D800" s="12" t="s">
        <v>821</v>
      </c>
      <c r="E800" s="17">
        <v>0.88885053503624434</v>
      </c>
      <c r="F800" s="17">
        <v>0.11114946496375561</v>
      </c>
      <c r="G800" s="13">
        <v>0.80595354013075537</v>
      </c>
      <c r="H800" s="13">
        <v>7.9844961240310077</v>
      </c>
      <c r="I800" s="14">
        <v>8.6647507557738521</v>
      </c>
      <c r="J800" s="16">
        <v>0.63470000000000004</v>
      </c>
      <c r="K800" s="16">
        <v>0.63390000000000002</v>
      </c>
      <c r="L800" s="13">
        <v>0.443</v>
      </c>
      <c r="M800" s="13">
        <v>7.6E-3</v>
      </c>
      <c r="N800" s="13">
        <v>4.4699999999999997E-2</v>
      </c>
      <c r="O800" s="13">
        <v>5.2299999999999999E-2</v>
      </c>
      <c r="P800" s="16">
        <v>0.2586</v>
      </c>
      <c r="Q800" s="16">
        <v>0.2177</v>
      </c>
      <c r="R800" s="16">
        <v>0.2177</v>
      </c>
      <c r="S800" s="16">
        <f t="shared" si="26"/>
        <v>0.23133333333333331</v>
      </c>
      <c r="T800" s="18">
        <v>0.77509652509652494</v>
      </c>
      <c r="U800" s="1">
        <v>0</v>
      </c>
      <c r="V800" s="1">
        <f t="shared" si="25"/>
        <v>0</v>
      </c>
      <c r="W800" s="26"/>
      <c r="X800">
        <v>1.1299999999999999E-2</v>
      </c>
      <c r="Y800" s="1">
        <v>2.29E-2</v>
      </c>
      <c r="Z800" s="1">
        <v>2.2599999999999999E-2</v>
      </c>
      <c r="AA800" s="1">
        <v>6999</v>
      </c>
      <c r="AB800" s="1">
        <v>33</v>
      </c>
      <c r="AC800" s="29">
        <v>1352</v>
      </c>
    </row>
    <row r="801" spans="1:29" ht="38.25">
      <c r="A801" s="12">
        <v>54</v>
      </c>
      <c r="B801" s="12" t="s">
        <v>801</v>
      </c>
      <c r="C801" s="12">
        <v>54385</v>
      </c>
      <c r="D801" s="12" t="s">
        <v>819</v>
      </c>
      <c r="E801" s="17">
        <v>0.93380199179847689</v>
      </c>
      <c r="F801" s="17">
        <v>6.6198008201523134E-2</v>
      </c>
      <c r="G801" s="13">
        <v>0.77921485088253195</v>
      </c>
      <c r="H801" s="13">
        <v>14.085419734904271</v>
      </c>
      <c r="I801" s="14">
        <v>9.234349824436535</v>
      </c>
      <c r="J801" s="16">
        <v>0.80720000000000003</v>
      </c>
      <c r="K801" s="16">
        <v>0.80720000000000003</v>
      </c>
      <c r="L801" s="13">
        <v>0.36859999999999998</v>
      </c>
      <c r="M801" s="13">
        <v>5.4899999999999997E-2</v>
      </c>
      <c r="N801" s="13">
        <v>8.6599999999999996E-2</v>
      </c>
      <c r="O801" s="13">
        <v>6.2799999999999995E-2</v>
      </c>
      <c r="P801" s="16">
        <v>0.18190000000000001</v>
      </c>
      <c r="Q801" s="16">
        <v>0.18190000000000001</v>
      </c>
      <c r="R801" s="16">
        <v>0.18190000000000001</v>
      </c>
      <c r="S801" s="16">
        <f t="shared" si="26"/>
        <v>0.18190000000000003</v>
      </c>
      <c r="T801" s="18">
        <v>1</v>
      </c>
      <c r="U801" s="1">
        <v>11.764705879999999</v>
      </c>
      <c r="V801" s="1">
        <f t="shared" si="25"/>
        <v>2.5466840092999115</v>
      </c>
      <c r="W801" s="26"/>
      <c r="X801">
        <v>3.3399999999999999E-2</v>
      </c>
      <c r="Y801" s="1">
        <v>8.2900000000000001E-2</v>
      </c>
      <c r="Z801" s="1">
        <v>7.9699999999999993E-2</v>
      </c>
      <c r="AA801" s="1">
        <v>12516</v>
      </c>
      <c r="AB801" s="1">
        <v>85</v>
      </c>
      <c r="AC801" s="29">
        <v>3052</v>
      </c>
    </row>
    <row r="802" spans="1:29" ht="38.25">
      <c r="A802" s="12">
        <v>54</v>
      </c>
      <c r="B802" s="12" t="s">
        <v>801</v>
      </c>
      <c r="C802" s="12">
        <v>54398</v>
      </c>
      <c r="D802" s="12" t="s">
        <v>820</v>
      </c>
      <c r="E802" s="17">
        <v>0.96075747205110651</v>
      </c>
      <c r="F802" s="17">
        <v>3.9242527948893449E-2</v>
      </c>
      <c r="G802" s="13">
        <v>1.0028600846585058</v>
      </c>
      <c r="H802" s="13">
        <v>24.411594202898552</v>
      </c>
      <c r="I802" s="14">
        <v>9.0787499515885859</v>
      </c>
      <c r="J802" s="16">
        <v>0.78400000000000003</v>
      </c>
      <c r="K802" s="16">
        <v>0.78400000000000003</v>
      </c>
      <c r="L802" s="13">
        <v>0.34749999999999998</v>
      </c>
      <c r="M802" s="13">
        <v>1.7399999999999999E-2</v>
      </c>
      <c r="N802" s="13">
        <v>9.6500000000000002E-2</v>
      </c>
      <c r="O802" s="13">
        <v>6.9699999999999998E-2</v>
      </c>
      <c r="P802" s="16">
        <v>0.16269999999999998</v>
      </c>
      <c r="Q802" s="16">
        <v>0.14349999999999999</v>
      </c>
      <c r="R802" s="16">
        <v>0.14990000000000001</v>
      </c>
      <c r="S802" s="16">
        <f t="shared" si="26"/>
        <v>0.15203333333333333</v>
      </c>
      <c r="T802" s="18">
        <v>0.89362618432385799</v>
      </c>
      <c r="U802" s="1">
        <v>0</v>
      </c>
      <c r="V802" s="1">
        <f t="shared" si="25"/>
        <v>0</v>
      </c>
      <c r="W802" s="25"/>
      <c r="X802">
        <v>1.6500000000000001E-2</v>
      </c>
      <c r="Y802" s="1">
        <v>6.1199999999999997E-2</v>
      </c>
      <c r="Z802" s="1">
        <v>5.9400000000000001E-2</v>
      </c>
      <c r="AA802" s="1">
        <v>8582</v>
      </c>
      <c r="AB802" s="1">
        <v>73</v>
      </c>
      <c r="AC802" s="29">
        <v>1909</v>
      </c>
    </row>
    <row r="803" spans="1:29" ht="38.25">
      <c r="A803" s="12">
        <v>54</v>
      </c>
      <c r="B803" s="12" t="s">
        <v>801</v>
      </c>
      <c r="C803" s="12">
        <v>54405</v>
      </c>
      <c r="D803" s="12" t="s">
        <v>822</v>
      </c>
      <c r="E803" s="17">
        <v>0.75498088269425745</v>
      </c>
      <c r="F803" s="17">
        <v>0.24501911730574252</v>
      </c>
      <c r="G803" s="13">
        <v>0.78917027368339876</v>
      </c>
      <c r="H803" s="13">
        <v>3.0811605762999155</v>
      </c>
      <c r="I803" s="14">
        <v>11.312814612766591</v>
      </c>
      <c r="J803" s="16">
        <v>0.76559999999999995</v>
      </c>
      <c r="K803" s="16">
        <v>0.76529999999999998</v>
      </c>
      <c r="L803" s="13">
        <v>0.4874</v>
      </c>
      <c r="M803" s="13">
        <v>3.6299999999999999E-2</v>
      </c>
      <c r="N803" s="13">
        <v>5.11E-2</v>
      </c>
      <c r="O803" s="13">
        <v>6.4799999999999996E-2</v>
      </c>
      <c r="P803" s="16">
        <v>0.96400000000000008</v>
      </c>
      <c r="Q803" s="16">
        <v>0.95569999999999988</v>
      </c>
      <c r="R803" s="16">
        <v>0.99340000000000006</v>
      </c>
      <c r="S803" s="16">
        <f t="shared" si="26"/>
        <v>0.9710333333333333</v>
      </c>
      <c r="T803" s="18">
        <v>1</v>
      </c>
      <c r="U803" s="1">
        <v>8.1081081079999997</v>
      </c>
      <c r="V803" s="1">
        <f t="shared" si="25"/>
        <v>2.2091650176962676</v>
      </c>
      <c r="W803" s="25"/>
      <c r="X803">
        <v>9.0899999999999995E-2</v>
      </c>
      <c r="Y803" s="1">
        <v>4.4047999999999998</v>
      </c>
      <c r="Z803" s="1">
        <v>1.6873</v>
      </c>
      <c r="AA803" s="1">
        <v>103208</v>
      </c>
      <c r="AB803" s="1">
        <v>740</v>
      </c>
      <c r="AC803" s="29">
        <v>18992</v>
      </c>
    </row>
    <row r="804" spans="1:29" ht="38.25">
      <c r="A804" s="12">
        <v>54</v>
      </c>
      <c r="B804" s="12" t="s">
        <v>801</v>
      </c>
      <c r="C804" s="12">
        <v>54418</v>
      </c>
      <c r="D804" s="12" t="s">
        <v>823</v>
      </c>
      <c r="E804" s="17">
        <v>0.90457917625991302</v>
      </c>
      <c r="F804" s="17">
        <v>9.542082374008698E-2</v>
      </c>
      <c r="G804" s="13">
        <v>0.86158254353096764</v>
      </c>
      <c r="H804" s="13">
        <v>9.454545454545455</v>
      </c>
      <c r="I804" s="14">
        <v>8.2712926529794117</v>
      </c>
      <c r="J804" s="16">
        <v>0.63460000000000005</v>
      </c>
      <c r="K804" s="16">
        <v>0.63460000000000005</v>
      </c>
      <c r="L804" s="13">
        <v>0.34229999999999999</v>
      </c>
      <c r="M804" s="13">
        <v>1.9400000000000001E-2</v>
      </c>
      <c r="N804" s="13">
        <v>6.9599999999999995E-2</v>
      </c>
      <c r="O804" s="13">
        <v>6.4699999999999994E-2</v>
      </c>
      <c r="P804" s="16">
        <v>0.59370000000000001</v>
      </c>
      <c r="Q804" s="16">
        <v>0.44850000000000001</v>
      </c>
      <c r="R804" s="16">
        <v>0.5222</v>
      </c>
      <c r="S804" s="16">
        <f t="shared" si="26"/>
        <v>0.52146666666666663</v>
      </c>
      <c r="T804" s="18">
        <v>0.90824261275272089</v>
      </c>
      <c r="U804" s="1">
        <v>0</v>
      </c>
      <c r="V804" s="1">
        <f t="shared" si="25"/>
        <v>0</v>
      </c>
      <c r="W804" s="26"/>
      <c r="X804">
        <v>1.09E-2</v>
      </c>
      <c r="Y804" s="1">
        <v>8.48E-2</v>
      </c>
      <c r="Z804" s="1">
        <v>8.14E-2</v>
      </c>
      <c r="AA804" s="1">
        <v>4520</v>
      </c>
      <c r="AB804" s="1">
        <v>36</v>
      </c>
      <c r="AC804" s="29">
        <v>952</v>
      </c>
    </row>
    <row r="805" spans="1:29" ht="38.25">
      <c r="A805" s="12">
        <v>54</v>
      </c>
      <c r="B805" s="12" t="s">
        <v>801</v>
      </c>
      <c r="C805" s="12">
        <v>54480</v>
      </c>
      <c r="D805" s="12" t="s">
        <v>824</v>
      </c>
      <c r="E805" s="17">
        <v>0.93074720124967458</v>
      </c>
      <c r="F805" s="17">
        <v>6.9252798750325431E-2</v>
      </c>
      <c r="G805" s="13">
        <v>0.7931034482758621</v>
      </c>
      <c r="H805" s="13">
        <v>13.389513108614231</v>
      </c>
      <c r="I805" s="14">
        <v>8.2537483433285015</v>
      </c>
      <c r="J805" s="16">
        <v>0.72919999999999996</v>
      </c>
      <c r="K805" s="16">
        <v>0.72809999999999997</v>
      </c>
      <c r="L805" s="13">
        <v>0.32029999999999997</v>
      </c>
      <c r="M805" s="13">
        <v>1.4200000000000001E-2</v>
      </c>
      <c r="N805" s="13">
        <v>8.2500000000000004E-2</v>
      </c>
      <c r="O805" s="13">
        <v>0.1168</v>
      </c>
      <c r="P805" s="16">
        <v>0.1101</v>
      </c>
      <c r="Q805" s="16">
        <v>0.10869999999999999</v>
      </c>
      <c r="R805" s="16">
        <v>0.17760000000000001</v>
      </c>
      <c r="S805" s="16">
        <f t="shared" si="26"/>
        <v>0.13213333333333332</v>
      </c>
      <c r="T805" s="18">
        <v>0.755805243445692</v>
      </c>
      <c r="U805" s="1">
        <v>0</v>
      </c>
      <c r="V805" s="1">
        <f t="shared" si="25"/>
        <v>0</v>
      </c>
      <c r="W805" s="25"/>
      <c r="X805">
        <v>1.5599999999999999E-2</v>
      </c>
      <c r="Y805" s="1">
        <v>6.2899999999999998E-2</v>
      </c>
      <c r="Z805" s="1">
        <v>6.0999999999999999E-2</v>
      </c>
      <c r="AA805" s="1">
        <v>4636</v>
      </c>
      <c r="AB805" s="1">
        <v>28</v>
      </c>
      <c r="AC805" s="29">
        <v>883</v>
      </c>
    </row>
    <row r="806" spans="1:29" ht="38.25">
      <c r="A806" s="12">
        <v>54</v>
      </c>
      <c r="B806" s="12" t="s">
        <v>801</v>
      </c>
      <c r="C806" s="12">
        <v>54498</v>
      </c>
      <c r="D806" s="12" t="s">
        <v>825</v>
      </c>
      <c r="E806" s="17">
        <v>0.75100769252604394</v>
      </c>
      <c r="F806" s="17">
        <v>0.24899230747395612</v>
      </c>
      <c r="G806" s="13">
        <v>1</v>
      </c>
      <c r="H806" s="13">
        <v>3.0161023711810304</v>
      </c>
      <c r="I806" s="14">
        <v>11.855926343554142</v>
      </c>
      <c r="J806" s="16">
        <v>0.84089999999999998</v>
      </c>
      <c r="K806" s="16">
        <v>0.84060000000000001</v>
      </c>
      <c r="L806" s="13">
        <v>0.44769999999999999</v>
      </c>
      <c r="M806" s="13">
        <v>4.2200000000000001E-2</v>
      </c>
      <c r="N806" s="13">
        <v>8.9899999999999994E-2</v>
      </c>
      <c r="O806" s="13">
        <v>8.0299999999999996E-2</v>
      </c>
      <c r="P806" s="16">
        <v>0.71599999999999997</v>
      </c>
      <c r="Q806" s="16">
        <v>0.67720000000000002</v>
      </c>
      <c r="R806" s="16">
        <v>0.70319999999999994</v>
      </c>
      <c r="S806" s="16">
        <f t="shared" si="26"/>
        <v>0.69879999999999998</v>
      </c>
      <c r="T806" s="18">
        <v>1</v>
      </c>
      <c r="U806" s="1">
        <v>11.944260119999999</v>
      </c>
      <c r="V806" s="1">
        <f t="shared" si="25"/>
        <v>2.5606524559114985</v>
      </c>
      <c r="W806" s="26"/>
      <c r="X806">
        <v>4.4900000000000002E-2</v>
      </c>
      <c r="Y806" s="1">
        <v>0.98089999999999999</v>
      </c>
      <c r="Z806" s="1">
        <v>0.68359999999999999</v>
      </c>
      <c r="AA806" s="1">
        <v>136427</v>
      </c>
      <c r="AB806" s="1">
        <v>1507</v>
      </c>
      <c r="AC806" s="29">
        <v>25578</v>
      </c>
    </row>
    <row r="807" spans="1:29" ht="38.25">
      <c r="A807" s="12">
        <v>54</v>
      </c>
      <c r="B807" s="12" t="s">
        <v>801</v>
      </c>
      <c r="C807" s="12">
        <v>54518</v>
      </c>
      <c r="D807" s="12" t="s">
        <v>826</v>
      </c>
      <c r="E807" s="17">
        <v>0.69159447881960967</v>
      </c>
      <c r="F807" s="17">
        <v>0.30840552118039027</v>
      </c>
      <c r="G807" s="13">
        <v>0.92320807114985759</v>
      </c>
      <c r="H807" s="13">
        <v>2.2423456790123457</v>
      </c>
      <c r="I807" s="14">
        <v>10.869063564085041</v>
      </c>
      <c r="J807" s="16">
        <v>0.81040000000000001</v>
      </c>
      <c r="K807" s="16">
        <v>0.80989999999999995</v>
      </c>
      <c r="L807" s="13">
        <v>0.43020000000000003</v>
      </c>
      <c r="M807" s="13">
        <v>4.9399999999999999E-2</v>
      </c>
      <c r="N807" s="13">
        <v>0.10390000000000001</v>
      </c>
      <c r="O807" s="13">
        <v>0.1129</v>
      </c>
      <c r="P807" s="16">
        <v>0.83420000000000005</v>
      </c>
      <c r="Q807" s="16">
        <v>0.83420000000000005</v>
      </c>
      <c r="R807" s="16">
        <v>0.83420000000000005</v>
      </c>
      <c r="S807" s="16">
        <f t="shared" si="26"/>
        <v>0.83420000000000005</v>
      </c>
      <c r="T807" s="18">
        <v>1</v>
      </c>
      <c r="U807" s="1">
        <v>2.9154518949999999</v>
      </c>
      <c r="V807" s="1">
        <f t="shared" si="25"/>
        <v>1.3649307493461287</v>
      </c>
      <c r="W807" s="25"/>
      <c r="X807">
        <v>0.12670000000000001</v>
      </c>
      <c r="Y807" s="1">
        <v>0.51739999999999997</v>
      </c>
      <c r="Z807" s="1">
        <v>0.41699999999999998</v>
      </c>
      <c r="AA807" s="1">
        <v>52427</v>
      </c>
      <c r="AB807" s="1">
        <v>343</v>
      </c>
      <c r="AC807" s="29">
        <v>9040</v>
      </c>
    </row>
    <row r="808" spans="1:29" ht="38.25">
      <c r="A808" s="12">
        <v>54</v>
      </c>
      <c r="B808" s="12" t="s">
        <v>801</v>
      </c>
      <c r="C808" s="12">
        <v>54520</v>
      </c>
      <c r="D808" s="12" t="s">
        <v>827</v>
      </c>
      <c r="E808" s="17">
        <v>0.8586200413611581</v>
      </c>
      <c r="F808" s="17">
        <v>0.1413799586388419</v>
      </c>
      <c r="G808" s="13">
        <v>0.85254047122936372</v>
      </c>
      <c r="H808" s="13">
        <v>6.0650730411686586</v>
      </c>
      <c r="I808" s="14">
        <v>8.5792285823356895</v>
      </c>
      <c r="J808" s="16">
        <v>0.77980000000000005</v>
      </c>
      <c r="K808" s="16">
        <v>0.77980000000000005</v>
      </c>
      <c r="L808" s="13">
        <v>0.54500000000000004</v>
      </c>
      <c r="M808" s="13">
        <v>1.9400000000000001E-2</v>
      </c>
      <c r="N808" s="13">
        <v>9.2999999999999999E-2</v>
      </c>
      <c r="O808" s="13">
        <v>4.0899999999999999E-2</v>
      </c>
      <c r="P808" s="16">
        <v>0.20379999999999998</v>
      </c>
      <c r="Q808" s="16">
        <v>0.20379999999999998</v>
      </c>
      <c r="R808" s="16">
        <v>0.20379999999999998</v>
      </c>
      <c r="S808" s="16">
        <f t="shared" si="26"/>
        <v>0.20379999999999998</v>
      </c>
      <c r="T808" s="18">
        <v>0.985823981098641</v>
      </c>
      <c r="U808" s="1">
        <v>0</v>
      </c>
      <c r="V808" s="1">
        <f t="shared" si="25"/>
        <v>0</v>
      </c>
      <c r="W808" s="26"/>
      <c r="X808">
        <v>0.18909999999999999</v>
      </c>
      <c r="Y808" s="1">
        <v>0.28010000000000002</v>
      </c>
      <c r="Z808" s="1">
        <v>0.24690000000000001</v>
      </c>
      <c r="AA808" s="1">
        <v>6204</v>
      </c>
      <c r="AB808" s="1">
        <v>51</v>
      </c>
      <c r="AC808" s="29">
        <v>1184</v>
      </c>
    </row>
    <row r="809" spans="1:29" ht="38.25">
      <c r="A809" s="12">
        <v>54</v>
      </c>
      <c r="B809" s="12" t="s">
        <v>801</v>
      </c>
      <c r="C809" s="12">
        <v>54553</v>
      </c>
      <c r="D809" s="12" t="s">
        <v>828</v>
      </c>
      <c r="E809" s="17">
        <v>0.95917203626618008</v>
      </c>
      <c r="F809" s="17">
        <v>4.0827963733819923E-2</v>
      </c>
      <c r="G809" s="13">
        <v>1</v>
      </c>
      <c r="H809" s="13">
        <v>23.460251046025103</v>
      </c>
      <c r="I809" s="14">
        <v>9.7721252343393008</v>
      </c>
      <c r="J809" s="16">
        <v>0.86299999999999999</v>
      </c>
      <c r="K809" s="16">
        <v>0.86170000000000002</v>
      </c>
      <c r="L809" s="13">
        <v>0.3352</v>
      </c>
      <c r="M809" s="13">
        <v>5.4300000000000001E-2</v>
      </c>
      <c r="N809" s="13">
        <v>9.1899999999999996E-2</v>
      </c>
      <c r="O809" s="13">
        <v>8.9200000000000002E-2</v>
      </c>
      <c r="P809" s="16">
        <v>0.75739999999999996</v>
      </c>
      <c r="Q809" s="16">
        <v>0.75739999999999996</v>
      </c>
      <c r="R809" s="16">
        <v>0.75739999999999996</v>
      </c>
      <c r="S809" s="16">
        <f t="shared" si="26"/>
        <v>0.75739999999999996</v>
      </c>
      <c r="T809" s="18">
        <v>1</v>
      </c>
      <c r="U809" s="1">
        <v>0</v>
      </c>
      <c r="V809" s="1">
        <f t="shared" si="25"/>
        <v>0</v>
      </c>
      <c r="W809" s="25"/>
      <c r="X809">
        <v>3.4099999999999998E-2</v>
      </c>
      <c r="Y809" s="1">
        <v>0.36709999999999998</v>
      </c>
      <c r="Z809" s="1">
        <v>0.31269999999999998</v>
      </c>
      <c r="AA809" s="1">
        <v>9525</v>
      </c>
      <c r="AB809" s="1">
        <v>184</v>
      </c>
      <c r="AC809" s="29">
        <v>2195</v>
      </c>
    </row>
    <row r="810" spans="1:29" ht="38.25">
      <c r="A810" s="12">
        <v>54</v>
      </c>
      <c r="B810" s="12" t="s">
        <v>801</v>
      </c>
      <c r="C810" s="12">
        <v>54599</v>
      </c>
      <c r="D810" s="12" t="s">
        <v>829</v>
      </c>
      <c r="E810" s="17">
        <v>0.95647279549718578</v>
      </c>
      <c r="F810" s="17">
        <v>4.3527204502814262E-2</v>
      </c>
      <c r="G810" s="13">
        <v>1</v>
      </c>
      <c r="H810" s="13">
        <v>21.911174785100286</v>
      </c>
      <c r="I810" s="14">
        <v>8.9866966956202905</v>
      </c>
      <c r="J810" s="16">
        <v>0.8417</v>
      </c>
      <c r="K810" s="16">
        <v>0.8417</v>
      </c>
      <c r="L810" s="13">
        <v>0.35349999999999998</v>
      </c>
      <c r="M810" s="13">
        <v>2.2700000000000001E-2</v>
      </c>
      <c r="N810" s="13">
        <v>5.7799999999999997E-2</v>
      </c>
      <c r="O810" s="13">
        <v>2.5600000000000001E-2</v>
      </c>
      <c r="P810" s="16">
        <v>0.33640000000000003</v>
      </c>
      <c r="Q810" s="16">
        <v>0.3332</v>
      </c>
      <c r="R810" s="16">
        <v>0.33549999999999996</v>
      </c>
      <c r="S810" s="16">
        <f t="shared" si="26"/>
        <v>0.33503333333333329</v>
      </c>
      <c r="T810" s="18">
        <v>0.81810269799825908</v>
      </c>
      <c r="U810" s="1">
        <v>0</v>
      </c>
      <c r="V810" s="1">
        <f t="shared" si="25"/>
        <v>0</v>
      </c>
      <c r="W810" s="26"/>
      <c r="X810">
        <v>1.7500000000000002E-2</v>
      </c>
      <c r="Y810" s="1">
        <v>0.27600000000000002</v>
      </c>
      <c r="Z810" s="1">
        <v>0.24379999999999999</v>
      </c>
      <c r="AA810" s="1">
        <v>6653</v>
      </c>
      <c r="AB810" s="1">
        <v>43</v>
      </c>
      <c r="AC810" s="29">
        <v>1173</v>
      </c>
    </row>
    <row r="811" spans="1:29" ht="38.25">
      <c r="A811" s="12">
        <v>54</v>
      </c>
      <c r="B811" s="12" t="s">
        <v>801</v>
      </c>
      <c r="C811" s="12">
        <v>54660</v>
      </c>
      <c r="D811" s="12" t="s">
        <v>830</v>
      </c>
      <c r="E811" s="17">
        <v>0.91612778689315699</v>
      </c>
      <c r="F811" s="17">
        <v>8.3872213106842966E-2</v>
      </c>
      <c r="G811" s="13">
        <v>0.88828875171467769</v>
      </c>
      <c r="H811" s="13">
        <v>10.910344827586206</v>
      </c>
      <c r="I811" s="14">
        <v>9.2459005473747329</v>
      </c>
      <c r="J811" s="16">
        <v>0.73599999999999999</v>
      </c>
      <c r="K811" s="16">
        <v>0.73560000000000003</v>
      </c>
      <c r="L811" s="13">
        <v>0.42480000000000001</v>
      </c>
      <c r="M811" s="13">
        <v>3.7100000000000001E-2</v>
      </c>
      <c r="N811" s="13">
        <v>8.8700000000000001E-2</v>
      </c>
      <c r="O811" s="13">
        <v>6.4000000000000001E-2</v>
      </c>
      <c r="P811" s="16">
        <v>0.38350000000000001</v>
      </c>
      <c r="Q811" s="16">
        <v>0.38350000000000001</v>
      </c>
      <c r="R811" s="16">
        <v>0.38350000000000001</v>
      </c>
      <c r="S811" s="16">
        <f t="shared" si="26"/>
        <v>0.38350000000000001</v>
      </c>
      <c r="T811" s="18">
        <v>0.58368200836820006</v>
      </c>
      <c r="U811" s="1">
        <v>12.5</v>
      </c>
      <c r="V811" s="1">
        <f t="shared" si="25"/>
        <v>2.6026896854443837</v>
      </c>
      <c r="W811" s="25"/>
      <c r="X811">
        <v>1.7600000000000001E-2</v>
      </c>
      <c r="Y811" s="1">
        <v>5.0200000000000002E-2</v>
      </c>
      <c r="Z811" s="1">
        <v>4.9000000000000002E-2</v>
      </c>
      <c r="AA811" s="1">
        <v>11438</v>
      </c>
      <c r="AB811" s="1">
        <v>80</v>
      </c>
      <c r="AC811" s="29">
        <v>2370</v>
      </c>
    </row>
    <row r="812" spans="1:29" ht="38.25">
      <c r="A812" s="12">
        <v>54</v>
      </c>
      <c r="B812" s="12" t="s">
        <v>801</v>
      </c>
      <c r="C812" s="12">
        <v>54670</v>
      </c>
      <c r="D812" s="12" t="s">
        <v>831</v>
      </c>
      <c r="E812" s="17">
        <v>0.96504491683714311</v>
      </c>
      <c r="F812" s="17">
        <v>3.4955083162856886E-2</v>
      </c>
      <c r="G812" s="13">
        <v>0.77559326710816778</v>
      </c>
      <c r="H812" s="13">
        <v>27.538071065989847</v>
      </c>
      <c r="I812" s="14">
        <v>9.3275899320264219</v>
      </c>
      <c r="J812" s="16">
        <v>0.64890000000000003</v>
      </c>
      <c r="K812" s="16">
        <v>0.64859999999999995</v>
      </c>
      <c r="L812" s="13">
        <v>0.15190000000000001</v>
      </c>
      <c r="M812" s="13">
        <v>4.2299999999999997E-2</v>
      </c>
      <c r="N812" s="13">
        <v>0.12609999999999999</v>
      </c>
      <c r="O812" s="13">
        <v>0.1124</v>
      </c>
      <c r="P812" s="16">
        <v>9.5000000000000001E-2</v>
      </c>
      <c r="Q812" s="16">
        <v>9.5000000000000001E-2</v>
      </c>
      <c r="R812" s="16">
        <v>9.5000000000000001E-2</v>
      </c>
      <c r="S812" s="16">
        <f t="shared" si="26"/>
        <v>9.5000000000000015E-2</v>
      </c>
      <c r="T812" s="18">
        <v>0.74840312278211496</v>
      </c>
      <c r="U812" s="1">
        <v>10.52631579</v>
      </c>
      <c r="V812" s="1">
        <f t="shared" si="25"/>
        <v>2.4446327506957224</v>
      </c>
      <c r="W812" s="26"/>
      <c r="X812">
        <v>3.2000000000000001E-2</v>
      </c>
      <c r="Y812" s="1">
        <v>3.5299999999999998E-2</v>
      </c>
      <c r="Z812" s="1">
        <v>3.4700000000000002E-2</v>
      </c>
      <c r="AA812" s="1">
        <v>13579</v>
      </c>
      <c r="AB812" s="1">
        <v>95</v>
      </c>
      <c r="AC812" s="29">
        <v>3415</v>
      </c>
    </row>
    <row r="813" spans="1:29" ht="38.25">
      <c r="A813" s="12">
        <v>54</v>
      </c>
      <c r="B813" s="12" t="s">
        <v>801</v>
      </c>
      <c r="C813" s="12">
        <v>54673</v>
      </c>
      <c r="D813" s="12" t="s">
        <v>594</v>
      </c>
      <c r="E813" s="17">
        <v>0.85187194791101462</v>
      </c>
      <c r="F813" s="17">
        <v>0.14812805208898536</v>
      </c>
      <c r="G813" s="13">
        <v>0.68242409281658845</v>
      </c>
      <c r="H813" s="13">
        <v>5.7439024390243905</v>
      </c>
      <c r="I813" s="14">
        <v>8.6179430945163809</v>
      </c>
      <c r="J813" s="16">
        <v>0.90549999999999997</v>
      </c>
      <c r="K813" s="16">
        <v>0.90549999999999997</v>
      </c>
      <c r="L813" s="13">
        <v>0.42580000000000001</v>
      </c>
      <c r="M813" s="13">
        <v>5.1799999999999999E-2</v>
      </c>
      <c r="N813" s="13">
        <v>8.5000000000000006E-2</v>
      </c>
      <c r="O813" s="13">
        <v>8.6400000000000005E-2</v>
      </c>
      <c r="P813" s="16">
        <v>0.74900000000000011</v>
      </c>
      <c r="Q813" s="16">
        <v>0.43390000000000001</v>
      </c>
      <c r="R813" s="16">
        <v>0.85299999999999998</v>
      </c>
      <c r="S813" s="16">
        <f t="shared" si="26"/>
        <v>0.67863333333333331</v>
      </c>
      <c r="T813" s="18">
        <v>1</v>
      </c>
      <c r="U813" s="1">
        <v>0</v>
      </c>
      <c r="V813" s="1">
        <f t="shared" si="25"/>
        <v>0</v>
      </c>
      <c r="W813" s="25"/>
      <c r="X813">
        <v>0.53200000000000003</v>
      </c>
      <c r="Y813" s="1">
        <v>1.6245000000000001</v>
      </c>
      <c r="Z813" s="1">
        <v>0.96489999999999998</v>
      </c>
      <c r="AA813" s="1">
        <v>8712</v>
      </c>
      <c r="AB813" s="1">
        <v>64</v>
      </c>
      <c r="AC813" s="29">
        <v>1831</v>
      </c>
    </row>
    <row r="814" spans="1:29" ht="38.25">
      <c r="A814" s="12">
        <v>54</v>
      </c>
      <c r="B814" s="12" t="s">
        <v>801</v>
      </c>
      <c r="C814" s="12">
        <v>54680</v>
      </c>
      <c r="D814" s="12" t="s">
        <v>832</v>
      </c>
      <c r="E814" s="17">
        <v>0.91091674765144148</v>
      </c>
      <c r="F814" s="17">
        <v>8.9083252348558475E-2</v>
      </c>
      <c r="G814" s="13">
        <v>0.79953379953379955</v>
      </c>
      <c r="H814" s="13">
        <v>10.188405797101449</v>
      </c>
      <c r="I814" s="14">
        <v>8.0352789111446672</v>
      </c>
      <c r="J814" s="16">
        <v>0.65159999999999996</v>
      </c>
      <c r="K814" s="16">
        <v>0.65159999999999996</v>
      </c>
      <c r="L814" s="13">
        <v>0.4733</v>
      </c>
      <c r="M814" s="13">
        <v>4.7300000000000002E-2</v>
      </c>
      <c r="N814" s="13">
        <v>6.6299999999999998E-2</v>
      </c>
      <c r="O814" s="13">
        <v>3.2199999999999999E-2</v>
      </c>
      <c r="P814" s="16">
        <v>0.47670000000000001</v>
      </c>
      <c r="Q814" s="16">
        <v>0.47670000000000001</v>
      </c>
      <c r="R814" s="16">
        <v>0.47670000000000001</v>
      </c>
      <c r="S814" s="16">
        <f t="shared" si="26"/>
        <v>0.47669999999999996</v>
      </c>
      <c r="T814" s="18">
        <v>0.42528735632183901</v>
      </c>
      <c r="U814" s="1">
        <v>0</v>
      </c>
      <c r="V814" s="1">
        <f t="shared" si="25"/>
        <v>0</v>
      </c>
      <c r="W814" s="26"/>
      <c r="X814">
        <v>0.1226</v>
      </c>
      <c r="Y814" s="1">
        <v>0.15659999999999999</v>
      </c>
      <c r="Z814" s="1">
        <v>0.14549999999999999</v>
      </c>
      <c r="AA814" s="1">
        <v>4040</v>
      </c>
      <c r="AB814" s="1">
        <v>24</v>
      </c>
      <c r="AC814" s="29">
        <v>790</v>
      </c>
    </row>
    <row r="815" spans="1:29" ht="38.25">
      <c r="A815" s="12">
        <v>54</v>
      </c>
      <c r="B815" s="12" t="s">
        <v>801</v>
      </c>
      <c r="C815" s="12">
        <v>54720</v>
      </c>
      <c r="D815" s="12" t="s">
        <v>833</v>
      </c>
      <c r="E815" s="17">
        <v>0.90072253311610118</v>
      </c>
      <c r="F815" s="17">
        <v>9.9277466883898852E-2</v>
      </c>
      <c r="G815" s="13">
        <v>0.97395563834557941</v>
      </c>
      <c r="H815" s="13">
        <v>9.0695435092724672</v>
      </c>
      <c r="I815" s="14">
        <v>10.248317622106937</v>
      </c>
      <c r="J815" s="16">
        <v>0.85499999999999998</v>
      </c>
      <c r="K815" s="16">
        <v>0.85499999999999998</v>
      </c>
      <c r="L815" s="13">
        <v>0.28860000000000002</v>
      </c>
      <c r="M815" s="13">
        <v>5.2699999999999997E-2</v>
      </c>
      <c r="N815" s="13">
        <v>7.9299999999999995E-2</v>
      </c>
      <c r="O815" s="13">
        <v>2.69E-2</v>
      </c>
      <c r="P815" s="16">
        <v>0.2545</v>
      </c>
      <c r="Q815" s="16">
        <v>0.2545</v>
      </c>
      <c r="R815" s="16">
        <v>0.2545</v>
      </c>
      <c r="S815" s="16">
        <f t="shared" si="26"/>
        <v>0.2545</v>
      </c>
      <c r="T815" s="18">
        <v>0.66720171214553203</v>
      </c>
      <c r="U815" s="1">
        <v>10.791366910000001</v>
      </c>
      <c r="V815" s="1">
        <f t="shared" si="25"/>
        <v>2.4673676459121006</v>
      </c>
      <c r="W815" s="25"/>
      <c r="X815">
        <v>6.2300000000000001E-2</v>
      </c>
      <c r="Y815" s="1">
        <v>5.6800000000000003E-2</v>
      </c>
      <c r="Z815" s="1">
        <v>5.5199999999999999E-2</v>
      </c>
      <c r="AA815" s="1">
        <v>28494</v>
      </c>
      <c r="AB815" s="1">
        <v>278</v>
      </c>
      <c r="AC815" s="29">
        <v>6621</v>
      </c>
    </row>
    <row r="816" spans="1:29" ht="38.25">
      <c r="A816" s="12">
        <v>54</v>
      </c>
      <c r="B816" s="12" t="s">
        <v>801</v>
      </c>
      <c r="C816" s="12">
        <v>54743</v>
      </c>
      <c r="D816" s="12" t="s">
        <v>834</v>
      </c>
      <c r="E816" s="17">
        <v>0.95558988221664409</v>
      </c>
      <c r="F816" s="17">
        <v>4.4410117783355858E-2</v>
      </c>
      <c r="G816" s="13">
        <v>0.72667321453627054</v>
      </c>
      <c r="H816" s="13">
        <v>21.424242424242426</v>
      </c>
      <c r="I816" s="14">
        <v>8.5525603352535295</v>
      </c>
      <c r="J816" s="16">
        <v>0.79249999999999998</v>
      </c>
      <c r="K816" s="16">
        <v>0.79249999999999998</v>
      </c>
      <c r="L816" s="13">
        <v>0.3448</v>
      </c>
      <c r="M816" s="13">
        <v>2.6700000000000002E-2</v>
      </c>
      <c r="N816" s="13">
        <v>8.7900000000000006E-2</v>
      </c>
      <c r="O816" s="13">
        <v>5.6000000000000001E-2</v>
      </c>
      <c r="P816" s="16">
        <v>0.20280000000000001</v>
      </c>
      <c r="Q816" s="16">
        <v>0.20280000000000001</v>
      </c>
      <c r="R816" s="16">
        <v>0.28850000000000003</v>
      </c>
      <c r="S816" s="16">
        <f t="shared" si="26"/>
        <v>0.23136666666666669</v>
      </c>
      <c r="T816" s="18">
        <v>0.85936784241868902</v>
      </c>
      <c r="U816" s="1">
        <v>0</v>
      </c>
      <c r="V816" s="1">
        <f t="shared" si="25"/>
        <v>0</v>
      </c>
      <c r="W816" s="26"/>
      <c r="X816">
        <v>1.52E-2</v>
      </c>
      <c r="Y816" s="1">
        <v>6.3600000000000004E-2</v>
      </c>
      <c r="Z816" s="1">
        <v>6.1699999999999998E-2</v>
      </c>
      <c r="AA816" s="1">
        <v>7166</v>
      </c>
      <c r="AB816" s="1">
        <v>63</v>
      </c>
      <c r="AC816" s="29">
        <v>1397</v>
      </c>
    </row>
    <row r="817" spans="1:29" ht="38.25">
      <c r="A817" s="12">
        <v>54</v>
      </c>
      <c r="B817" s="12" t="s">
        <v>801</v>
      </c>
      <c r="C817" s="12">
        <v>54800</v>
      </c>
      <c r="D817" s="12" t="s">
        <v>835</v>
      </c>
      <c r="E817" s="17">
        <v>0.9745189534944686</v>
      </c>
      <c r="F817" s="17">
        <v>2.5481046505531381E-2</v>
      </c>
      <c r="G817" s="13">
        <v>1</v>
      </c>
      <c r="H817" s="13">
        <v>38.166324435318273</v>
      </c>
      <c r="I817" s="14">
        <v>9.8560814301388575</v>
      </c>
      <c r="J817" s="16">
        <v>0.93120000000000003</v>
      </c>
      <c r="K817" s="16">
        <v>0.93030000000000002</v>
      </c>
      <c r="L817" s="13">
        <v>0.35709999999999997</v>
      </c>
      <c r="M817" s="13">
        <v>2.3400000000000001E-2</v>
      </c>
      <c r="N817" s="13">
        <v>7.4399999999999994E-2</v>
      </c>
      <c r="O817" s="13">
        <v>4.4499999999999998E-2</v>
      </c>
      <c r="P817" s="16">
        <v>0.16539999999999999</v>
      </c>
      <c r="Q817" s="16">
        <v>0.14749999999999999</v>
      </c>
      <c r="R817" s="16">
        <v>0.24760000000000001</v>
      </c>
      <c r="S817" s="16">
        <f t="shared" si="26"/>
        <v>0.18683333333333332</v>
      </c>
      <c r="T817" s="18">
        <v>1</v>
      </c>
      <c r="U817" s="1">
        <v>4.8543689319999999</v>
      </c>
      <c r="V817" s="1">
        <f t="shared" si="25"/>
        <v>1.7671882084909161</v>
      </c>
      <c r="W817" s="25"/>
      <c r="X817">
        <v>1.5699999999999999E-2</v>
      </c>
      <c r="Y817" s="1">
        <v>2.2499999999999999E-2</v>
      </c>
      <c r="Z817" s="1">
        <v>2.23E-2</v>
      </c>
      <c r="AA817" s="1">
        <v>18309</v>
      </c>
      <c r="AB817" s="1">
        <v>206</v>
      </c>
      <c r="AC817" s="29">
        <v>4661</v>
      </c>
    </row>
    <row r="818" spans="1:29" ht="38.25">
      <c r="A818" s="12">
        <v>54</v>
      </c>
      <c r="B818" s="12" t="s">
        <v>801</v>
      </c>
      <c r="C818" s="12">
        <v>54810</v>
      </c>
      <c r="D818" s="12" t="s">
        <v>836</v>
      </c>
      <c r="E818" s="17">
        <v>0.89372242331369389</v>
      </c>
      <c r="F818" s="17">
        <v>0.10627757668630611</v>
      </c>
      <c r="G818" s="13">
        <v>1</v>
      </c>
      <c r="H818" s="13">
        <v>8.4082774049216997</v>
      </c>
      <c r="I818" s="14">
        <v>11.234520229298656</v>
      </c>
      <c r="J818" s="16">
        <v>1.1761999999999999</v>
      </c>
      <c r="K818" s="16">
        <v>1.1758</v>
      </c>
      <c r="L818" s="13">
        <v>0.43769999999999998</v>
      </c>
      <c r="M818" s="13">
        <v>6.1499999999999999E-2</v>
      </c>
      <c r="N818" s="13">
        <v>7.4800000000000005E-2</v>
      </c>
      <c r="O818" s="13">
        <v>5.2600000000000001E-2</v>
      </c>
      <c r="P818" s="16">
        <v>0.65920000000000001</v>
      </c>
      <c r="Q818" s="16">
        <v>0.64480000000000004</v>
      </c>
      <c r="R818" s="16">
        <v>0.43939999999999996</v>
      </c>
      <c r="S818" s="16">
        <f t="shared" si="26"/>
        <v>0.58113333333333339</v>
      </c>
      <c r="T818" s="18">
        <v>1</v>
      </c>
      <c r="U818" s="1">
        <v>10.928961749999999</v>
      </c>
      <c r="V818" s="1">
        <f t="shared" si="25"/>
        <v>2.478969203823044</v>
      </c>
      <c r="W818" s="26"/>
      <c r="X818">
        <v>0.1226</v>
      </c>
      <c r="Y818" s="1">
        <v>9.8900000000000002E-2</v>
      </c>
      <c r="Z818" s="1">
        <v>9.4299999999999995E-2</v>
      </c>
      <c r="AA818" s="1">
        <v>67062</v>
      </c>
      <c r="AB818" s="1">
        <v>1098</v>
      </c>
      <c r="AC818" s="29">
        <v>16087</v>
      </c>
    </row>
    <row r="819" spans="1:29" ht="38.25">
      <c r="A819" s="12">
        <v>54</v>
      </c>
      <c r="B819" s="12" t="s">
        <v>801</v>
      </c>
      <c r="C819" s="12">
        <v>54820</v>
      </c>
      <c r="D819" s="12" t="s">
        <v>124</v>
      </c>
      <c r="E819" s="17">
        <v>0.8823704232049453</v>
      </c>
      <c r="F819" s="17">
        <v>0.11762957679505469</v>
      </c>
      <c r="G819" s="13">
        <v>0.94975725414926049</v>
      </c>
      <c r="H819" s="13">
        <v>7.4974747474747474</v>
      </c>
      <c r="I819" s="14">
        <v>9.730621154512928</v>
      </c>
      <c r="J819" s="16">
        <v>0.90300000000000002</v>
      </c>
      <c r="K819" s="16">
        <v>0.90280000000000005</v>
      </c>
      <c r="L819" s="13">
        <v>0.50860000000000005</v>
      </c>
      <c r="M819" s="13">
        <v>1.9199999999999998E-2</v>
      </c>
      <c r="N819" s="13">
        <v>7.6200000000000004E-2</v>
      </c>
      <c r="O819" s="13">
        <v>5.1700000000000003E-2</v>
      </c>
      <c r="P819" s="16">
        <v>0.36340000000000006</v>
      </c>
      <c r="Q819" s="16">
        <v>0.36709999999999998</v>
      </c>
      <c r="R819" s="16">
        <v>0.35210000000000002</v>
      </c>
      <c r="S819" s="16">
        <f t="shared" si="26"/>
        <v>0.36086666666666667</v>
      </c>
      <c r="T819" s="18">
        <v>0.90286022665947097</v>
      </c>
      <c r="U819" s="1">
        <v>14.59854015</v>
      </c>
      <c r="V819" s="1">
        <f t="shared" si="25"/>
        <v>2.7471773297483928</v>
      </c>
      <c r="W819" s="25"/>
      <c r="X819">
        <v>0.1308</v>
      </c>
      <c r="Y819" s="1">
        <v>3.7699999999999997E-2</v>
      </c>
      <c r="Z819" s="1">
        <v>3.6999999999999998E-2</v>
      </c>
      <c r="AA819" s="1">
        <v>17424</v>
      </c>
      <c r="AB819" s="1">
        <v>137</v>
      </c>
      <c r="AC819" s="29">
        <v>3530</v>
      </c>
    </row>
    <row r="820" spans="1:29" ht="38.25">
      <c r="A820" s="12">
        <v>54</v>
      </c>
      <c r="B820" s="12" t="s">
        <v>801</v>
      </c>
      <c r="C820" s="12">
        <v>54871</v>
      </c>
      <c r="D820" s="12" t="s">
        <v>837</v>
      </c>
      <c r="E820" s="17">
        <v>0.93356779992184447</v>
      </c>
      <c r="F820" s="17">
        <v>6.6432200078155534E-2</v>
      </c>
      <c r="G820" s="13">
        <v>0.89366160293347308</v>
      </c>
      <c r="H820" s="13">
        <v>14.011730205278592</v>
      </c>
      <c r="I820" s="14">
        <v>8.5407143864575836</v>
      </c>
      <c r="J820" s="16">
        <v>0.66059999999999997</v>
      </c>
      <c r="K820" s="16">
        <v>0.66059999999999997</v>
      </c>
      <c r="L820" s="13">
        <v>0.35470000000000002</v>
      </c>
      <c r="M820" s="13">
        <v>1.6299999999999999E-2</v>
      </c>
      <c r="N820" s="13">
        <v>5.6599999999999998E-2</v>
      </c>
      <c r="O820" s="13">
        <v>4.6800000000000001E-2</v>
      </c>
      <c r="P820" s="16">
        <v>0.50290000000000001</v>
      </c>
      <c r="Q820" s="16">
        <v>0.31120000000000003</v>
      </c>
      <c r="R820" s="16">
        <v>0.31120000000000003</v>
      </c>
      <c r="S820" s="16">
        <f t="shared" si="26"/>
        <v>0.37510000000000004</v>
      </c>
      <c r="T820" s="18">
        <v>1</v>
      </c>
      <c r="U820" s="1">
        <v>0</v>
      </c>
      <c r="V820" s="1">
        <f t="shared" si="25"/>
        <v>0</v>
      </c>
      <c r="W820" s="26"/>
      <c r="X820">
        <v>2.7900000000000001E-2</v>
      </c>
      <c r="Y820" s="1">
        <v>2.3800000000000002E-2</v>
      </c>
      <c r="Z820" s="1">
        <v>2.35E-2</v>
      </c>
      <c r="AA820" s="1">
        <v>5381</v>
      </c>
      <c r="AB820" s="1">
        <v>37</v>
      </c>
      <c r="AC820" s="29">
        <v>1236</v>
      </c>
    </row>
    <row r="821" spans="1:29" ht="38.25">
      <c r="A821" s="12">
        <v>54</v>
      </c>
      <c r="B821" s="12" t="s">
        <v>801</v>
      </c>
      <c r="C821" s="12">
        <v>54874</v>
      </c>
      <c r="D821" s="12" t="s">
        <v>838</v>
      </c>
      <c r="E821" s="17">
        <v>0.90236078770769368</v>
      </c>
      <c r="F821" s="17">
        <v>9.7639212292306321E-2</v>
      </c>
      <c r="G821" s="13">
        <v>1</v>
      </c>
      <c r="H821" s="13">
        <v>9.241136747326955</v>
      </c>
      <c r="I821" s="14">
        <v>11.888535993765789</v>
      </c>
      <c r="J821" s="16">
        <v>0.83350000000000002</v>
      </c>
      <c r="K821" s="16">
        <v>0.83209999999999995</v>
      </c>
      <c r="L821" s="13">
        <v>0.4234</v>
      </c>
      <c r="M821" s="13">
        <v>5.6800000000000003E-2</v>
      </c>
      <c r="N821" s="13">
        <v>8.0100000000000005E-2</v>
      </c>
      <c r="O821" s="13">
        <v>8.1100000000000005E-2</v>
      </c>
      <c r="P821" s="16">
        <v>0.82609999999999995</v>
      </c>
      <c r="Q821" s="16">
        <v>0.82499999999999996</v>
      </c>
      <c r="R821" s="16">
        <v>1</v>
      </c>
      <c r="S821" s="16">
        <f t="shared" si="26"/>
        <v>0.88370000000000004</v>
      </c>
      <c r="T821" s="18">
        <v>1</v>
      </c>
      <c r="U821" s="1">
        <v>10.44932079</v>
      </c>
      <c r="V821" s="1">
        <f t="shared" si="25"/>
        <v>2.4379304085901135</v>
      </c>
      <c r="W821" s="25"/>
      <c r="X821">
        <v>0.1137</v>
      </c>
      <c r="Y821" s="1">
        <v>7.4408000000000003</v>
      </c>
      <c r="Z821" s="1">
        <v>2.1331000000000002</v>
      </c>
      <c r="AA821" s="1">
        <v>123460</v>
      </c>
      <c r="AB821" s="1">
        <v>957</v>
      </c>
      <c r="AC821" s="29">
        <v>23289</v>
      </c>
    </row>
    <row r="822" spans="1:29">
      <c r="A822" s="12">
        <v>63</v>
      </c>
      <c r="B822" s="12" t="s">
        <v>850</v>
      </c>
      <c r="C822" s="12">
        <v>63001</v>
      </c>
      <c r="D822" s="12" t="s">
        <v>27</v>
      </c>
      <c r="E822" s="17">
        <v>0.4191577494864806</v>
      </c>
      <c r="F822" s="17">
        <v>0.58083175714139557</v>
      </c>
      <c r="G822" s="13">
        <v>1</v>
      </c>
      <c r="H822" s="13">
        <v>0.72164762205862432</v>
      </c>
      <c r="I822" s="14">
        <v>12.851063710869163</v>
      </c>
      <c r="J822" s="16">
        <v>0.90700000000000003</v>
      </c>
      <c r="K822" s="16">
        <v>0.90620000000000001</v>
      </c>
      <c r="L822" s="13">
        <v>0.55989999999999995</v>
      </c>
      <c r="M822" s="13">
        <v>5.0200000000000002E-2</v>
      </c>
      <c r="N822" s="13">
        <v>7.6200000000000004E-2</v>
      </c>
      <c r="O822" s="13">
        <v>5.8000000000000003E-2</v>
      </c>
      <c r="P822" s="16">
        <v>1</v>
      </c>
      <c r="Q822" s="16">
        <v>0.98419999999999996</v>
      </c>
      <c r="R822" s="16"/>
      <c r="S822" s="16">
        <f t="shared" si="26"/>
        <v>0.66139999999999999</v>
      </c>
      <c r="T822" s="18">
        <v>1</v>
      </c>
      <c r="U822" s="1">
        <v>6.9380203519999997</v>
      </c>
      <c r="V822" s="1">
        <f t="shared" si="25"/>
        <v>2.0716639182275793</v>
      </c>
      <c r="W822" s="25"/>
      <c r="X822">
        <v>0.23669999999999999</v>
      </c>
      <c r="Y822" s="1">
        <v>9.5033999999999992</v>
      </c>
      <c r="Z822" s="1">
        <v>2.3517000000000001</v>
      </c>
      <c r="AA822" s="1">
        <v>305676</v>
      </c>
      <c r="AB822" s="1">
        <v>2162</v>
      </c>
      <c r="AC822" s="29">
        <v>43784</v>
      </c>
    </row>
    <row r="823" spans="1:29">
      <c r="A823" s="12">
        <v>63</v>
      </c>
      <c r="B823" s="12" t="s">
        <v>850</v>
      </c>
      <c r="C823" s="12">
        <v>63111</v>
      </c>
      <c r="D823" s="12" t="s">
        <v>225</v>
      </c>
      <c r="E823" s="17">
        <v>0.8180778032036613</v>
      </c>
      <c r="F823" s="17">
        <v>0.18192219679633867</v>
      </c>
      <c r="G823" s="13">
        <v>0.81000926784059313</v>
      </c>
      <c r="H823" s="13">
        <v>4.48744769874477</v>
      </c>
      <c r="I823" s="14">
        <v>7.8720739798668733</v>
      </c>
      <c r="J823" s="16">
        <v>0.72299999999999998</v>
      </c>
      <c r="K823" s="16">
        <v>0.72299999999999998</v>
      </c>
      <c r="L823" s="13">
        <v>0.5</v>
      </c>
      <c r="M823" s="13">
        <v>3.04E-2</v>
      </c>
      <c r="N823" s="13">
        <v>8.8800000000000004E-2</v>
      </c>
      <c r="O823" s="13">
        <v>7.9399999999999998E-2</v>
      </c>
      <c r="P823" s="16">
        <v>0.47499999999999998</v>
      </c>
      <c r="Q823" s="16">
        <v>0.4249</v>
      </c>
      <c r="R823" s="16">
        <v>0.47889999999999999</v>
      </c>
      <c r="S823" s="16">
        <f t="shared" si="26"/>
        <v>0.45960000000000001</v>
      </c>
      <c r="T823" s="18">
        <v>0.60789844851903996</v>
      </c>
      <c r="U823" s="1">
        <v>76.92307692</v>
      </c>
      <c r="V823" s="1">
        <f t="shared" si="25"/>
        <v>4.3557221467476603</v>
      </c>
      <c r="W823" s="26"/>
      <c r="X823">
        <v>3.2500000000000001E-2</v>
      </c>
      <c r="Y823" s="1">
        <v>0.27179999999999999</v>
      </c>
      <c r="Z823" s="1">
        <v>0.2404</v>
      </c>
      <c r="AA823" s="1">
        <v>3199</v>
      </c>
      <c r="AB823" s="1">
        <v>13</v>
      </c>
      <c r="AC823" s="29">
        <v>564</v>
      </c>
    </row>
    <row r="824" spans="1:29">
      <c r="A824" s="12">
        <v>63</v>
      </c>
      <c r="B824" s="12" t="s">
        <v>850</v>
      </c>
      <c r="C824" s="12">
        <v>63130</v>
      </c>
      <c r="D824" s="12" t="s">
        <v>851</v>
      </c>
      <c r="E824" s="17">
        <v>0.66173908949672799</v>
      </c>
      <c r="F824" s="17">
        <v>0.33826091050327195</v>
      </c>
      <c r="G824" s="13">
        <v>0.83409251551087726</v>
      </c>
      <c r="H824" s="13">
        <v>1.9562070885136389</v>
      </c>
      <c r="I824" s="14">
        <v>11.062316536692785</v>
      </c>
      <c r="J824" s="16">
        <v>0.89</v>
      </c>
      <c r="K824" s="16">
        <v>0.88970000000000005</v>
      </c>
      <c r="L824" s="13">
        <v>0.53369999999999995</v>
      </c>
      <c r="M824" s="13">
        <v>4.5400000000000003E-2</v>
      </c>
      <c r="N824" s="13">
        <v>8.9599999999999999E-2</v>
      </c>
      <c r="O824" s="13">
        <v>8.2000000000000003E-2</v>
      </c>
      <c r="P824" s="16">
        <v>0.99730000000000008</v>
      </c>
      <c r="Q824" s="16">
        <v>0.86099999999999999</v>
      </c>
      <c r="R824" s="16">
        <v>0.99439999999999995</v>
      </c>
      <c r="S824" s="16">
        <f t="shared" si="26"/>
        <v>0.95089999999999997</v>
      </c>
      <c r="T824" s="18">
        <v>0.53509050492219701</v>
      </c>
      <c r="U824" s="1">
        <v>4.3572984750000003</v>
      </c>
      <c r="V824" s="1">
        <f t="shared" si="25"/>
        <v>1.6784598321658142</v>
      </c>
      <c r="W824" s="25"/>
      <c r="X824">
        <v>0.1108</v>
      </c>
      <c r="Y824" s="1">
        <v>2.0737999999999999</v>
      </c>
      <c r="Z824" s="1">
        <v>1.1229</v>
      </c>
      <c r="AA824" s="1">
        <v>74545</v>
      </c>
      <c r="AB824" s="1">
        <v>459</v>
      </c>
      <c r="AC824" s="29">
        <v>11441</v>
      </c>
    </row>
    <row r="825" spans="1:29">
      <c r="A825" s="12">
        <v>63</v>
      </c>
      <c r="B825" s="12" t="s">
        <v>850</v>
      </c>
      <c r="C825" s="12">
        <v>63190</v>
      </c>
      <c r="D825" s="12" t="s">
        <v>852</v>
      </c>
      <c r="E825" s="17">
        <v>0.71928254942058623</v>
      </c>
      <c r="F825" s="17">
        <v>0.28067484662576686</v>
      </c>
      <c r="G825" s="13">
        <v>0.79163575042158518</v>
      </c>
      <c r="H825" s="13">
        <v>2.5623008043709214</v>
      </c>
      <c r="I825" s="14">
        <v>10.063606103428887</v>
      </c>
      <c r="J825" s="16">
        <v>0.81659999999999999</v>
      </c>
      <c r="K825" s="16">
        <v>0.81630000000000003</v>
      </c>
      <c r="L825" s="13">
        <v>0.48830000000000001</v>
      </c>
      <c r="M825" s="13">
        <v>3.4500000000000003E-2</v>
      </c>
      <c r="N825" s="13">
        <v>6.6199999999999995E-2</v>
      </c>
      <c r="O825" s="13">
        <v>6.9199999999999998E-2</v>
      </c>
      <c r="P825" s="16">
        <v>0</v>
      </c>
      <c r="Q825" s="16">
        <v>0</v>
      </c>
      <c r="R825" s="16">
        <v>0</v>
      </c>
      <c r="S825" s="16">
        <f t="shared" si="26"/>
        <v>0</v>
      </c>
      <c r="T825" s="18">
        <v>0.92188976377952703</v>
      </c>
      <c r="U825" s="1">
        <v>12.578616350000001</v>
      </c>
      <c r="V825" s="1">
        <f t="shared" si="25"/>
        <v>2.6084962281324637</v>
      </c>
      <c r="W825" s="26"/>
      <c r="X825">
        <v>7.9600000000000004E-2</v>
      </c>
      <c r="Y825" s="1">
        <v>1.3988</v>
      </c>
      <c r="Z825" s="1">
        <v>0.875</v>
      </c>
      <c r="AA825" s="1">
        <v>29013</v>
      </c>
      <c r="AB825" s="1">
        <v>159</v>
      </c>
      <c r="AC825" s="29">
        <v>4381</v>
      </c>
    </row>
    <row r="826" spans="1:29">
      <c r="A826" s="12">
        <v>63</v>
      </c>
      <c r="B826" s="12" t="s">
        <v>850</v>
      </c>
      <c r="C826" s="12">
        <v>63212</v>
      </c>
      <c r="D826" s="12" t="s">
        <v>181</v>
      </c>
      <c r="E826" s="17">
        <v>0.84181197195757684</v>
      </c>
      <c r="F826" s="17">
        <v>0.15818802804242316</v>
      </c>
      <c r="G826" s="13">
        <v>0.93747893495112911</v>
      </c>
      <c r="H826" s="13">
        <v>5.3155505107832006</v>
      </c>
      <c r="I826" s="14">
        <v>8.6240725530433338</v>
      </c>
      <c r="J826" s="16">
        <v>0.83130000000000004</v>
      </c>
      <c r="K826" s="16">
        <v>0.83130000000000004</v>
      </c>
      <c r="L826" s="13">
        <v>0.49359999999999998</v>
      </c>
      <c r="M826" s="13">
        <v>3.4700000000000002E-2</v>
      </c>
      <c r="N826" s="13">
        <v>7.8899999999999998E-2</v>
      </c>
      <c r="O826" s="13">
        <v>7.7799999999999994E-2</v>
      </c>
      <c r="P826" s="16">
        <v>0.98780000000000001</v>
      </c>
      <c r="Q826" s="16">
        <v>0.39429999999999998</v>
      </c>
      <c r="R826" s="16">
        <v>0.37740000000000001</v>
      </c>
      <c r="S826" s="16">
        <f t="shared" si="26"/>
        <v>0.58649999999999991</v>
      </c>
      <c r="T826" s="18">
        <v>0.78947368421052599</v>
      </c>
      <c r="U826" s="1">
        <v>0</v>
      </c>
      <c r="V826" s="1">
        <f t="shared" si="25"/>
        <v>0</v>
      </c>
      <c r="W826" s="25"/>
      <c r="X826">
        <v>2.0199999999999999E-2</v>
      </c>
      <c r="Y826" s="1">
        <v>0.15</v>
      </c>
      <c r="Z826" s="1">
        <v>0.13980000000000001</v>
      </c>
      <c r="AA826" s="1">
        <v>5866</v>
      </c>
      <c r="AB826" s="1">
        <v>31</v>
      </c>
      <c r="AC826" s="29">
        <v>994</v>
      </c>
    </row>
    <row r="827" spans="1:29">
      <c r="A827" s="12">
        <v>63</v>
      </c>
      <c r="B827" s="12" t="s">
        <v>850</v>
      </c>
      <c r="C827" s="12">
        <v>63272</v>
      </c>
      <c r="D827" s="12" t="s">
        <v>853</v>
      </c>
      <c r="E827" s="17">
        <v>0.75552369708213862</v>
      </c>
      <c r="F827" s="17">
        <v>0.24447630291786135</v>
      </c>
      <c r="G827" s="13">
        <v>0.93709498972656868</v>
      </c>
      <c r="H827" s="13">
        <v>3.0893103448275863</v>
      </c>
      <c r="I827" s="14">
        <v>9.3808423519647945</v>
      </c>
      <c r="J827" s="16">
        <v>0.86719999999999997</v>
      </c>
      <c r="K827" s="16">
        <v>0.86719999999999997</v>
      </c>
      <c r="L827" s="13">
        <v>0.66349999999999998</v>
      </c>
      <c r="M827" s="13">
        <v>3.95E-2</v>
      </c>
      <c r="N827" s="13">
        <v>7.5899999999999995E-2</v>
      </c>
      <c r="O827" s="13">
        <v>7.2900000000000006E-2</v>
      </c>
      <c r="P827" s="16">
        <v>0.99919999999999998</v>
      </c>
      <c r="Q827" s="16">
        <v>0.59699999999999998</v>
      </c>
      <c r="R827" s="16">
        <v>0.56840000000000002</v>
      </c>
      <c r="S827" s="16">
        <f t="shared" si="26"/>
        <v>0.72153333333333336</v>
      </c>
      <c r="T827" s="18">
        <v>0.80088659032138809</v>
      </c>
      <c r="U827" s="1">
        <v>0</v>
      </c>
      <c r="V827" s="1">
        <f t="shared" si="25"/>
        <v>0</v>
      </c>
      <c r="W827" s="26"/>
      <c r="X827">
        <v>7.5999999999999998E-2</v>
      </c>
      <c r="Y827" s="1">
        <v>0.51800000000000002</v>
      </c>
      <c r="Z827" s="1">
        <v>0.41739999999999999</v>
      </c>
      <c r="AA827" s="1">
        <v>12418</v>
      </c>
      <c r="AB827" s="1">
        <v>49</v>
      </c>
      <c r="AC827" s="29">
        <v>1885</v>
      </c>
    </row>
    <row r="828" spans="1:29">
      <c r="A828" s="12">
        <v>63</v>
      </c>
      <c r="B828" s="12" t="s">
        <v>850</v>
      </c>
      <c r="C828" s="12">
        <v>63302</v>
      </c>
      <c r="D828" s="12" t="s">
        <v>854</v>
      </c>
      <c r="E828" s="17">
        <v>0.87059561128526641</v>
      </c>
      <c r="F828" s="17">
        <v>0.12940438871473353</v>
      </c>
      <c r="G828" s="13">
        <v>1</v>
      </c>
      <c r="H828" s="13">
        <v>6.7212003872216846</v>
      </c>
      <c r="I828" s="14">
        <v>8.9841923116416744</v>
      </c>
      <c r="J828" s="16">
        <v>0.83069999999999999</v>
      </c>
      <c r="K828" s="16">
        <v>0.83069999999999999</v>
      </c>
      <c r="L828" s="13">
        <v>0.42709999999999998</v>
      </c>
      <c r="M828" s="13">
        <v>5.1400000000000001E-2</v>
      </c>
      <c r="N828" s="13">
        <v>0.1143</v>
      </c>
      <c r="O828" s="13">
        <v>4.4600000000000001E-2</v>
      </c>
      <c r="P828" s="16">
        <v>0.69640000000000002</v>
      </c>
      <c r="Q828" s="16">
        <v>0.68799999999999994</v>
      </c>
      <c r="R828" s="16">
        <v>0.58440000000000003</v>
      </c>
      <c r="S828" s="16">
        <f t="shared" si="26"/>
        <v>0.65626666666666666</v>
      </c>
      <c r="T828" s="18">
        <v>0.68120805369127491</v>
      </c>
      <c r="U828" s="1">
        <v>0</v>
      </c>
      <c r="V828" s="1">
        <f t="shared" si="25"/>
        <v>0</v>
      </c>
      <c r="W828" s="25"/>
      <c r="X828">
        <v>2.1700000000000001E-2</v>
      </c>
      <c r="Y828" s="1">
        <v>9.4100000000000003E-2</v>
      </c>
      <c r="Z828" s="1">
        <v>0.09</v>
      </c>
      <c r="AA828" s="1">
        <v>7723</v>
      </c>
      <c r="AB828" s="1">
        <v>48</v>
      </c>
      <c r="AC828" s="29">
        <v>1231</v>
      </c>
    </row>
    <row r="829" spans="1:29">
      <c r="A829" s="12">
        <v>63</v>
      </c>
      <c r="B829" s="12" t="s">
        <v>850</v>
      </c>
      <c r="C829" s="12">
        <v>63401</v>
      </c>
      <c r="D829" s="12" t="s">
        <v>855</v>
      </c>
      <c r="E829" s="17">
        <v>0.72415614747261303</v>
      </c>
      <c r="F829" s="17">
        <v>0.27584385252738697</v>
      </c>
      <c r="G829" s="13">
        <v>1</v>
      </c>
      <c r="H829" s="13">
        <v>2.624974803467043</v>
      </c>
      <c r="I829" s="14">
        <v>10.490357130375763</v>
      </c>
      <c r="J829" s="16">
        <v>0.83679999999999999</v>
      </c>
      <c r="K829" s="16">
        <v>0.83679999999999999</v>
      </c>
      <c r="L829" s="13">
        <v>0.49409999999999998</v>
      </c>
      <c r="M829" s="13">
        <v>5.0299999999999997E-2</v>
      </c>
      <c r="N829" s="13">
        <v>8.6499999999999994E-2</v>
      </c>
      <c r="O829" s="13">
        <v>7.5700000000000003E-2</v>
      </c>
      <c r="P829" s="16">
        <v>0.98670000000000002</v>
      </c>
      <c r="Q829" s="16">
        <v>0.98670000000000002</v>
      </c>
      <c r="R829" s="16">
        <v>0.98670000000000002</v>
      </c>
      <c r="S829" s="16">
        <f t="shared" si="26"/>
        <v>0.98670000000000002</v>
      </c>
      <c r="T829" s="18">
        <v>0.765682656826568</v>
      </c>
      <c r="U829" s="1">
        <v>19.53125</v>
      </c>
      <c r="V829" s="1">
        <f t="shared" si="25"/>
        <v>3.021948115684884</v>
      </c>
      <c r="W829" s="26"/>
      <c r="X829">
        <v>0.1348</v>
      </c>
      <c r="Y829" s="1">
        <v>1.6377999999999999</v>
      </c>
      <c r="Z829" s="1">
        <v>0.96989999999999998</v>
      </c>
      <c r="AA829" s="1">
        <v>33885</v>
      </c>
      <c r="AB829" s="1">
        <v>256</v>
      </c>
      <c r="AC829" s="29">
        <v>5814</v>
      </c>
    </row>
    <row r="830" spans="1:29">
      <c r="A830" s="12">
        <v>63</v>
      </c>
      <c r="B830" s="12" t="s">
        <v>850</v>
      </c>
      <c r="C830" s="12">
        <v>63470</v>
      </c>
      <c r="D830" s="12" t="s">
        <v>856</v>
      </c>
      <c r="E830" s="17">
        <v>0.75777302531080348</v>
      </c>
      <c r="F830" s="17">
        <v>0.24222697468919649</v>
      </c>
      <c r="G830" s="13">
        <v>1</v>
      </c>
      <c r="H830" s="13">
        <v>3.1280558789289872</v>
      </c>
      <c r="I830" s="14">
        <v>10.658482136422153</v>
      </c>
      <c r="J830" s="16">
        <v>0.86180000000000001</v>
      </c>
      <c r="K830" s="16">
        <v>0.86180000000000001</v>
      </c>
      <c r="L830" s="13">
        <v>0.45250000000000001</v>
      </c>
      <c r="M830" s="13">
        <v>5.3999999999999999E-2</v>
      </c>
      <c r="N830" s="13">
        <v>8.6900000000000005E-2</v>
      </c>
      <c r="O830" s="13">
        <v>8.8999999999999996E-2</v>
      </c>
      <c r="P830" s="16">
        <v>1</v>
      </c>
      <c r="Q830" s="16">
        <v>1</v>
      </c>
      <c r="R830" s="16">
        <v>1</v>
      </c>
      <c r="S830" s="16">
        <f t="shared" si="26"/>
        <v>1</v>
      </c>
      <c r="T830" s="18">
        <v>0.88973536487570104</v>
      </c>
      <c r="U830" s="1">
        <v>17.85714286</v>
      </c>
      <c r="V830" s="1">
        <f t="shared" si="25"/>
        <v>2.9368917736825728</v>
      </c>
      <c r="W830" s="25"/>
      <c r="X830">
        <v>7.0000000000000007E-2</v>
      </c>
      <c r="Y830" s="1">
        <v>0.85150000000000003</v>
      </c>
      <c r="Z830" s="1">
        <v>0.61599999999999999</v>
      </c>
      <c r="AA830" s="1">
        <v>37530</v>
      </c>
      <c r="AB830" s="1">
        <v>280</v>
      </c>
      <c r="AC830" s="29">
        <v>6130</v>
      </c>
    </row>
    <row r="831" spans="1:29">
      <c r="A831" s="12">
        <v>63</v>
      </c>
      <c r="B831" s="12" t="s">
        <v>850</v>
      </c>
      <c r="C831" s="12">
        <v>63548</v>
      </c>
      <c r="D831" s="12" t="s">
        <v>857</v>
      </c>
      <c r="E831" s="17">
        <v>0.84851153778404087</v>
      </c>
      <c r="F831" s="17">
        <v>0.15148846221595913</v>
      </c>
      <c r="G831" s="13">
        <v>1</v>
      </c>
      <c r="H831" s="13">
        <v>5.5946573751451805</v>
      </c>
      <c r="I831" s="14">
        <v>8.644354337032917</v>
      </c>
      <c r="J831" s="16">
        <v>1.1322000000000001</v>
      </c>
      <c r="K831" s="16">
        <v>1.1322000000000001</v>
      </c>
      <c r="L831" s="13">
        <v>0.95</v>
      </c>
      <c r="M831" s="13">
        <v>4.53E-2</v>
      </c>
      <c r="N831" s="13">
        <v>9.2600000000000002E-2</v>
      </c>
      <c r="O831" s="13">
        <v>7.85E-2</v>
      </c>
      <c r="P831" s="16">
        <v>1</v>
      </c>
      <c r="Q831" s="16">
        <v>0.73319999999999996</v>
      </c>
      <c r="R831" s="16">
        <v>1</v>
      </c>
      <c r="S831" s="16">
        <f t="shared" si="26"/>
        <v>0.91106666666666669</v>
      </c>
      <c r="T831" s="18">
        <v>0.67181467181467103</v>
      </c>
      <c r="U831" s="1">
        <v>50</v>
      </c>
      <c r="V831" s="1">
        <f t="shared" si="25"/>
        <v>3.9318256327243257</v>
      </c>
      <c r="W831" s="26"/>
      <c r="X831">
        <v>3.8300000000000001E-2</v>
      </c>
      <c r="Y831" s="1">
        <v>8.2699999999999996E-2</v>
      </c>
      <c r="Z831" s="1">
        <v>7.9500000000000001E-2</v>
      </c>
      <c r="AA831" s="1">
        <v>5361</v>
      </c>
      <c r="AB831" s="1">
        <v>40</v>
      </c>
      <c r="AC831" s="29">
        <v>887</v>
      </c>
    </row>
    <row r="832" spans="1:29">
      <c r="A832" s="12">
        <v>63</v>
      </c>
      <c r="B832" s="12" t="s">
        <v>850</v>
      </c>
      <c r="C832" s="12">
        <v>63594</v>
      </c>
      <c r="D832" s="12" t="s">
        <v>858</v>
      </c>
      <c r="E832" s="17">
        <v>0.77169177144279844</v>
      </c>
      <c r="F832" s="17">
        <v>0.22827710693389766</v>
      </c>
      <c r="G832" s="13">
        <v>1.0028714107365793</v>
      </c>
      <c r="H832" s="13">
        <v>3.380043620501636</v>
      </c>
      <c r="I832" s="14">
        <v>10.377638818432739</v>
      </c>
      <c r="J832" s="16">
        <v>0.95</v>
      </c>
      <c r="K832" s="16">
        <v>0.95</v>
      </c>
      <c r="L832" s="13">
        <v>0.58150000000000002</v>
      </c>
      <c r="M832" s="13">
        <v>4.7399999999999998E-2</v>
      </c>
      <c r="N832" s="13">
        <v>7.5899999999999995E-2</v>
      </c>
      <c r="O832" s="13">
        <v>7.1099999999999997E-2</v>
      </c>
      <c r="P832" s="16">
        <v>1</v>
      </c>
      <c r="Q832" s="16">
        <v>0.78650000000000009</v>
      </c>
      <c r="R832" s="16">
        <v>0.85519999999999996</v>
      </c>
      <c r="S832" s="16">
        <f t="shared" si="26"/>
        <v>0.88056666666666672</v>
      </c>
      <c r="T832" s="18">
        <v>0.96982055464926509</v>
      </c>
      <c r="U832" s="1">
        <v>15.70680628</v>
      </c>
      <c r="V832" s="1">
        <f t="shared" si="25"/>
        <v>2.8158161980686556</v>
      </c>
      <c r="W832" s="25"/>
      <c r="X832">
        <v>6.2899999999999998E-2</v>
      </c>
      <c r="Y832" s="1">
        <v>0.65690000000000004</v>
      </c>
      <c r="Z832" s="1">
        <v>0.505</v>
      </c>
      <c r="AA832" s="1">
        <v>31400</v>
      </c>
      <c r="AB832" s="1">
        <v>191</v>
      </c>
      <c r="AC832" s="29">
        <v>4799</v>
      </c>
    </row>
    <row r="833" spans="1:29">
      <c r="A833" s="12">
        <v>63</v>
      </c>
      <c r="B833" s="12" t="s">
        <v>850</v>
      </c>
      <c r="C833" s="12">
        <v>63690</v>
      </c>
      <c r="D833" s="12" t="s">
        <v>859</v>
      </c>
      <c r="E833" s="17">
        <v>0.76273653566229982</v>
      </c>
      <c r="F833" s="17">
        <v>0.23726346433770015</v>
      </c>
      <c r="G833" s="13">
        <v>0.56156125472565643</v>
      </c>
      <c r="H833" s="13">
        <v>3.2122605363984675</v>
      </c>
      <c r="I833" s="14">
        <v>8.6119577678606607</v>
      </c>
      <c r="J833" s="16">
        <v>1.4176</v>
      </c>
      <c r="K833" s="16">
        <v>1.4148000000000001</v>
      </c>
      <c r="L833" s="13">
        <v>0.71120000000000005</v>
      </c>
      <c r="M833" s="13">
        <v>1.95E-2</v>
      </c>
      <c r="N833" s="13">
        <v>8.2500000000000004E-2</v>
      </c>
      <c r="O833" s="13">
        <v>5.7299999999999997E-2</v>
      </c>
      <c r="P833" s="16">
        <v>0.8548</v>
      </c>
      <c r="Q833" s="16">
        <v>0.2893</v>
      </c>
      <c r="R833" s="16">
        <v>0.44880000000000003</v>
      </c>
      <c r="S833" s="16">
        <f t="shared" si="26"/>
        <v>0.5309666666666667</v>
      </c>
      <c r="T833" s="18">
        <v>0.70606902023006701</v>
      </c>
      <c r="U833" s="1">
        <v>25</v>
      </c>
      <c r="V833" s="1">
        <f t="shared" si="25"/>
        <v>3.2580965380214821</v>
      </c>
      <c r="W833" s="26"/>
      <c r="X833">
        <v>0.20369999999999999</v>
      </c>
      <c r="Y833" s="1">
        <v>0.29099999999999998</v>
      </c>
      <c r="Z833" s="1">
        <v>0.2555</v>
      </c>
      <c r="AA833" s="1">
        <v>10264</v>
      </c>
      <c r="AB833" s="1">
        <v>40</v>
      </c>
      <c r="AC833" s="29">
        <v>1532</v>
      </c>
    </row>
    <row r="834" spans="1:29">
      <c r="A834" s="12">
        <v>66</v>
      </c>
      <c r="B834" s="12" t="s">
        <v>355</v>
      </c>
      <c r="C834" s="12">
        <v>66001</v>
      </c>
      <c r="D834" s="12" t="s">
        <v>868</v>
      </c>
      <c r="E834" s="17">
        <v>0.38624972067859198</v>
      </c>
      <c r="F834" s="17">
        <v>0.61373886180400039</v>
      </c>
      <c r="G834" s="13">
        <v>1</v>
      </c>
      <c r="H834" s="13">
        <v>0.62933719570532587</v>
      </c>
      <c r="I834" s="14">
        <v>13.326273547371136</v>
      </c>
      <c r="J834" s="16">
        <v>1.0296000000000001</v>
      </c>
      <c r="K834" s="16">
        <v>1.0245</v>
      </c>
      <c r="L834" s="13">
        <v>0.62039999999999995</v>
      </c>
      <c r="M834" s="13">
        <v>5.4899999999999997E-2</v>
      </c>
      <c r="N834" s="13">
        <v>8.43E-2</v>
      </c>
      <c r="O834" s="13">
        <v>7.4499999999999997E-2</v>
      </c>
      <c r="P834" s="16">
        <v>0.6764</v>
      </c>
      <c r="Q834" s="16">
        <v>0.60119999999999996</v>
      </c>
      <c r="R834" s="16"/>
      <c r="S834" s="16">
        <f t="shared" si="26"/>
        <v>0.42586666666666667</v>
      </c>
      <c r="T834" s="18">
        <v>0.95413682317917803</v>
      </c>
      <c r="U834" s="1">
        <v>9.5707656609999994</v>
      </c>
      <c r="V834" s="1">
        <f t="shared" ref="V834:V897" si="27">LN(U834+1)</f>
        <v>2.3580922344394004</v>
      </c>
      <c r="W834" s="26"/>
      <c r="X834">
        <v>0.40679999999999999</v>
      </c>
      <c r="Y834" s="1">
        <v>4.1680000000000001</v>
      </c>
      <c r="Z834" s="1">
        <v>1.6425000000000001</v>
      </c>
      <c r="AA834" s="1">
        <v>486042</v>
      </c>
      <c r="AB834" s="1">
        <v>3448</v>
      </c>
      <c r="AC834" s="29">
        <v>73574</v>
      </c>
    </row>
    <row r="835" spans="1:29">
      <c r="A835" s="12">
        <v>66</v>
      </c>
      <c r="B835" s="12" t="s">
        <v>355</v>
      </c>
      <c r="C835" s="12">
        <v>66045</v>
      </c>
      <c r="D835" s="12" t="s">
        <v>860</v>
      </c>
      <c r="E835" s="17">
        <v>0.84653864773277387</v>
      </c>
      <c r="F835" s="17">
        <v>0.15346135226722607</v>
      </c>
      <c r="G835" s="13">
        <v>0.98077075255202972</v>
      </c>
      <c r="H835" s="13">
        <v>5.5133998949027854</v>
      </c>
      <c r="I835" s="14">
        <v>9.4250484444692901</v>
      </c>
      <c r="J835" s="16">
        <v>0.72560000000000002</v>
      </c>
      <c r="K835" s="16">
        <v>0.72560000000000002</v>
      </c>
      <c r="L835" s="13">
        <v>0.45479999999999998</v>
      </c>
      <c r="M835" s="13">
        <v>4.58E-2</v>
      </c>
      <c r="N835" s="13">
        <v>4.1000000000000002E-2</v>
      </c>
      <c r="O835" s="13">
        <v>2.1399999999999999E-2</v>
      </c>
      <c r="P835" s="16">
        <v>0.35729999999999995</v>
      </c>
      <c r="Q835" s="16">
        <v>0.35729999999999995</v>
      </c>
      <c r="R835" s="16">
        <v>0.35729999999999995</v>
      </c>
      <c r="S835" s="16">
        <f t="shared" si="26"/>
        <v>0.35729999999999995</v>
      </c>
      <c r="T835" s="18">
        <v>0.74164026751143897</v>
      </c>
      <c r="U835" s="1">
        <v>12.195121950000001</v>
      </c>
      <c r="V835" s="1">
        <f t="shared" si="27"/>
        <v>2.5798472120497524</v>
      </c>
      <c r="W835" s="25"/>
      <c r="X835">
        <v>5.1799999999999999E-2</v>
      </c>
      <c r="Y835" s="1">
        <v>0.13900000000000001</v>
      </c>
      <c r="Z835" s="1">
        <v>0.13020000000000001</v>
      </c>
      <c r="AA835" s="1">
        <v>12754</v>
      </c>
      <c r="AB835" s="1">
        <v>82</v>
      </c>
      <c r="AC835" s="29">
        <v>2221</v>
      </c>
    </row>
    <row r="836" spans="1:29">
      <c r="A836" s="12">
        <v>66</v>
      </c>
      <c r="B836" s="12" t="s">
        <v>355</v>
      </c>
      <c r="C836" s="12">
        <v>66075</v>
      </c>
      <c r="D836" s="12" t="s">
        <v>399</v>
      </c>
      <c r="E836" s="17">
        <v>0.85505124450951686</v>
      </c>
      <c r="F836" s="17">
        <v>0.14494875549048317</v>
      </c>
      <c r="G836" s="13">
        <v>0.94163602941176472</v>
      </c>
      <c r="H836" s="13">
        <v>5.8923766816143495</v>
      </c>
      <c r="I836" s="14">
        <v>8.723882104658486</v>
      </c>
      <c r="J836" s="16">
        <v>0.78549999999999998</v>
      </c>
      <c r="K836" s="16">
        <v>0.78549999999999998</v>
      </c>
      <c r="L836" s="13">
        <v>0.38669999999999999</v>
      </c>
      <c r="M836" s="13">
        <v>6.4799999999999996E-2</v>
      </c>
      <c r="N836" s="13">
        <v>0.1145</v>
      </c>
      <c r="O836" s="13">
        <v>4.4299999999999999E-2</v>
      </c>
      <c r="P836" s="16">
        <v>0.46960000000000002</v>
      </c>
      <c r="Q836" s="16">
        <v>0.26519999999999999</v>
      </c>
      <c r="R836" s="16">
        <v>0.34009999999999996</v>
      </c>
      <c r="S836" s="16">
        <f t="shared" si="26"/>
        <v>0.35830000000000001</v>
      </c>
      <c r="T836" s="18">
        <v>1</v>
      </c>
      <c r="U836" s="1">
        <v>18.518518520000001</v>
      </c>
      <c r="V836" s="1">
        <f t="shared" si="27"/>
        <v>2.9713636826129348</v>
      </c>
      <c r="W836" s="26"/>
      <c r="X836">
        <v>0.52290000000000003</v>
      </c>
      <c r="Y836" s="1">
        <v>0.38500000000000001</v>
      </c>
      <c r="Z836" s="1">
        <v>0.32569999999999999</v>
      </c>
      <c r="AA836" s="1">
        <v>6647</v>
      </c>
      <c r="AB836" s="1">
        <v>54</v>
      </c>
      <c r="AC836" s="29">
        <v>1126</v>
      </c>
    </row>
    <row r="837" spans="1:29">
      <c r="A837" s="12">
        <v>66</v>
      </c>
      <c r="B837" s="12" t="s">
        <v>355</v>
      </c>
      <c r="C837" s="12">
        <v>66088</v>
      </c>
      <c r="D837" s="12" t="s">
        <v>861</v>
      </c>
      <c r="E837" s="17">
        <v>0.84229247577220423</v>
      </c>
      <c r="F837" s="17">
        <v>0.15770752422779571</v>
      </c>
      <c r="G837" s="13">
        <v>1</v>
      </c>
      <c r="H837" s="13">
        <v>5.3396226415094343</v>
      </c>
      <c r="I837" s="14">
        <v>10.223830407227457</v>
      </c>
      <c r="J837" s="16">
        <v>0.81569999999999998</v>
      </c>
      <c r="K837" s="16">
        <v>0.81569999999999998</v>
      </c>
      <c r="L837" s="13">
        <v>0.51080000000000003</v>
      </c>
      <c r="M837" s="13">
        <v>5.0599999999999999E-2</v>
      </c>
      <c r="N837" s="13">
        <v>6.6100000000000006E-2</v>
      </c>
      <c r="O837" s="13">
        <v>4.8800000000000003E-2</v>
      </c>
      <c r="P837" s="16">
        <v>0.95140000000000002</v>
      </c>
      <c r="Q837" s="16">
        <v>0.71040000000000003</v>
      </c>
      <c r="R837" s="16">
        <v>0.71550000000000002</v>
      </c>
      <c r="S837" s="16">
        <f t="shared" si="26"/>
        <v>0.79243333333333332</v>
      </c>
      <c r="T837" s="18">
        <v>0.89435665914221207</v>
      </c>
      <c r="U837" s="1">
        <v>10.638297870000001</v>
      </c>
      <c r="V837" s="1">
        <f t="shared" si="27"/>
        <v>2.4543012005108258</v>
      </c>
      <c r="W837" s="25"/>
      <c r="X837">
        <v>4.9000000000000002E-2</v>
      </c>
      <c r="Y837" s="1">
        <v>0.28939999999999999</v>
      </c>
      <c r="Z837" s="1">
        <v>0.25419999999999998</v>
      </c>
      <c r="AA837" s="1">
        <v>25391</v>
      </c>
      <c r="AB837" s="1">
        <v>188</v>
      </c>
      <c r="AC837" s="29">
        <v>4600</v>
      </c>
    </row>
    <row r="838" spans="1:29">
      <c r="A838" s="12">
        <v>66</v>
      </c>
      <c r="B838" s="12" t="s">
        <v>355</v>
      </c>
      <c r="C838" s="12">
        <v>66170</v>
      </c>
      <c r="D838" s="12" t="s">
        <v>862</v>
      </c>
      <c r="E838" s="17">
        <v>0.46605123553136518</v>
      </c>
      <c r="F838" s="17">
        <v>0.53394876446863482</v>
      </c>
      <c r="G838" s="13">
        <v>0.99532617210840091</v>
      </c>
      <c r="H838" s="13">
        <v>0.87283159972351076</v>
      </c>
      <c r="I838" s="14">
        <v>12.32333999268654</v>
      </c>
      <c r="J838" s="16">
        <v>0.84509999999999996</v>
      </c>
      <c r="K838" s="16">
        <v>0.84460000000000002</v>
      </c>
      <c r="L838" s="13">
        <v>0.48809999999999998</v>
      </c>
      <c r="M838" s="13">
        <v>5.8299999999999998E-2</v>
      </c>
      <c r="N838" s="13">
        <v>8.43E-2</v>
      </c>
      <c r="O838" s="13">
        <v>8.5999999999999993E-2</v>
      </c>
      <c r="P838" s="16">
        <v>0.86840000000000006</v>
      </c>
      <c r="Q838" s="16">
        <v>0.86840000000000006</v>
      </c>
      <c r="R838" s="16">
        <v>0.86840000000000006</v>
      </c>
      <c r="S838" s="16">
        <f t="shared" si="26"/>
        <v>0.86839999999999995</v>
      </c>
      <c r="T838" s="18">
        <v>1</v>
      </c>
      <c r="U838" s="1">
        <v>9.2879256970000004</v>
      </c>
      <c r="V838" s="1">
        <f t="shared" si="27"/>
        <v>2.3309709451713601</v>
      </c>
      <c r="W838" s="26"/>
      <c r="X838">
        <v>0.18329999999999999</v>
      </c>
      <c r="Y838" s="1">
        <v>12.2674</v>
      </c>
      <c r="Z838" s="1">
        <v>2.5853000000000002</v>
      </c>
      <c r="AA838" s="1">
        <v>240061</v>
      </c>
      <c r="AB838" s="1">
        <v>1615</v>
      </c>
      <c r="AC838" s="29">
        <v>37083</v>
      </c>
    </row>
    <row r="839" spans="1:29">
      <c r="A839" s="12">
        <v>66</v>
      </c>
      <c r="B839" s="12" t="s">
        <v>355</v>
      </c>
      <c r="C839" s="12">
        <v>66318</v>
      </c>
      <c r="D839" s="12" t="s">
        <v>863</v>
      </c>
      <c r="E839" s="17">
        <v>0.88011463142811652</v>
      </c>
      <c r="F839" s="17">
        <v>0.11988536857188346</v>
      </c>
      <c r="G839" s="13">
        <v>1</v>
      </c>
      <c r="H839" s="13">
        <v>7.3364299933643</v>
      </c>
      <c r="I839" s="14">
        <v>9.4385112650044185</v>
      </c>
      <c r="J839" s="16">
        <v>0.80520000000000003</v>
      </c>
      <c r="K839" s="16">
        <v>0.80520000000000003</v>
      </c>
      <c r="L839" s="13">
        <v>0.60980000000000001</v>
      </c>
      <c r="M839" s="13">
        <v>3.4799999999999998E-2</v>
      </c>
      <c r="N839" s="13">
        <v>3.6999999999999998E-2</v>
      </c>
      <c r="O839" s="13">
        <v>1.3599999999999999E-2</v>
      </c>
      <c r="P839" s="16">
        <v>0.7631</v>
      </c>
      <c r="Q839" s="16">
        <v>0.39610000000000001</v>
      </c>
      <c r="R839" s="16">
        <v>0.41439999999999999</v>
      </c>
      <c r="S839" s="16">
        <f t="shared" si="26"/>
        <v>0.5245333333333333</v>
      </c>
      <c r="T839" s="18">
        <v>0.98658675799086692</v>
      </c>
      <c r="U839" s="1">
        <v>13.513513509999999</v>
      </c>
      <c r="V839" s="1">
        <f t="shared" si="27"/>
        <v>2.6750801816225547</v>
      </c>
      <c r="W839" s="25"/>
      <c r="X839">
        <v>4.8800000000000003E-2</v>
      </c>
      <c r="Y839" s="1">
        <v>0.23069999999999999</v>
      </c>
      <c r="Z839" s="1">
        <v>0.20749999999999999</v>
      </c>
      <c r="AA839" s="1">
        <v>12548</v>
      </c>
      <c r="AB839" s="1">
        <v>74</v>
      </c>
      <c r="AC839" s="29">
        <v>2227</v>
      </c>
    </row>
    <row r="840" spans="1:29">
      <c r="A840" s="12">
        <v>66</v>
      </c>
      <c r="B840" s="12" t="s">
        <v>355</v>
      </c>
      <c r="C840" s="12">
        <v>66383</v>
      </c>
      <c r="D840" s="12" t="s">
        <v>864</v>
      </c>
      <c r="E840" s="17">
        <v>0.89203052671087202</v>
      </c>
      <c r="F840" s="17">
        <v>0.10796947328912798</v>
      </c>
      <c r="G840" s="13">
        <v>1</v>
      </c>
      <c r="H840" s="13">
        <v>8.2523148148148149</v>
      </c>
      <c r="I840" s="14">
        <v>8.9864465392712685</v>
      </c>
      <c r="J840" s="16">
        <v>0.8881</v>
      </c>
      <c r="K840" s="16">
        <v>0.8881</v>
      </c>
      <c r="L840" s="13">
        <v>0.57579999999999998</v>
      </c>
      <c r="M840" s="13">
        <v>3.5200000000000002E-2</v>
      </c>
      <c r="N840" s="13">
        <v>6.1699999999999998E-2</v>
      </c>
      <c r="O840" s="13">
        <v>2.8199999999999999E-2</v>
      </c>
      <c r="P840" s="16">
        <v>0.54530000000000001</v>
      </c>
      <c r="Q840" s="16">
        <v>0.49299999999999999</v>
      </c>
      <c r="R840" s="16">
        <v>0.49329999999999996</v>
      </c>
      <c r="S840" s="16">
        <f t="shared" ref="S840:S903" si="28">+(P840+Q840+R840)/3</f>
        <v>0.51053333333333339</v>
      </c>
      <c r="T840" s="18">
        <v>0.79068550497121903</v>
      </c>
      <c r="U840" s="1">
        <v>0</v>
      </c>
      <c r="V840" s="1">
        <f t="shared" si="27"/>
        <v>0</v>
      </c>
      <c r="W840" s="26"/>
      <c r="X840">
        <v>3.4700000000000002E-2</v>
      </c>
      <c r="Y840" s="1">
        <v>0.18060000000000001</v>
      </c>
      <c r="Z840" s="1">
        <v>0.16600000000000001</v>
      </c>
      <c r="AA840" s="1">
        <v>7749</v>
      </c>
      <c r="AB840" s="1">
        <v>48</v>
      </c>
      <c r="AC840" s="29">
        <v>1349</v>
      </c>
    </row>
    <row r="841" spans="1:29">
      <c r="A841" s="12">
        <v>66</v>
      </c>
      <c r="B841" s="12" t="s">
        <v>355</v>
      </c>
      <c r="C841" s="12">
        <v>66400</v>
      </c>
      <c r="D841" s="12" t="s">
        <v>865</v>
      </c>
      <c r="E841" s="17">
        <v>0.59704094614333503</v>
      </c>
      <c r="F841" s="17">
        <v>0.40295905385666492</v>
      </c>
      <c r="G841" s="13">
        <v>1</v>
      </c>
      <c r="H841" s="13">
        <v>1.4815551008477053</v>
      </c>
      <c r="I841" s="14">
        <v>10.656011517864062</v>
      </c>
      <c r="J841" s="16">
        <v>0.94330000000000003</v>
      </c>
      <c r="K841" s="16">
        <v>0.94330000000000003</v>
      </c>
      <c r="L841" s="13">
        <v>0.74590000000000001</v>
      </c>
      <c r="M841" s="13">
        <v>6.1499999999999999E-2</v>
      </c>
      <c r="N841" s="13">
        <v>4.9200000000000001E-2</v>
      </c>
      <c r="O841" s="13">
        <v>4.8099999999999997E-2</v>
      </c>
      <c r="P841" s="16">
        <v>0.81</v>
      </c>
      <c r="Q841" s="16">
        <v>0.80049999999999999</v>
      </c>
      <c r="R841" s="16">
        <v>0.81530000000000002</v>
      </c>
      <c r="S841" s="16">
        <f t="shared" si="28"/>
        <v>0.8086000000000001</v>
      </c>
      <c r="T841" s="18">
        <v>0.94285714285714206</v>
      </c>
      <c r="U841" s="1">
        <v>21.459227469999998</v>
      </c>
      <c r="V841" s="1">
        <f t="shared" si="27"/>
        <v>3.1117015529039658</v>
      </c>
      <c r="W841" s="25"/>
      <c r="X841">
        <v>0.1278</v>
      </c>
      <c r="Y841" s="1">
        <v>2.9914000000000001</v>
      </c>
      <c r="Z841" s="1">
        <v>1.3842000000000001</v>
      </c>
      <c r="AA841" s="1">
        <v>28384</v>
      </c>
      <c r="AB841" s="1">
        <v>233</v>
      </c>
      <c r="AC841" s="29">
        <v>4843</v>
      </c>
    </row>
    <row r="842" spans="1:29">
      <c r="A842" s="12">
        <v>66</v>
      </c>
      <c r="B842" s="12" t="s">
        <v>355</v>
      </c>
      <c r="C842" s="12">
        <v>66440</v>
      </c>
      <c r="D842" s="12" t="s">
        <v>866</v>
      </c>
      <c r="E842" s="17">
        <v>0.80623818525519853</v>
      </c>
      <c r="F842" s="17">
        <v>0.1937618147448015</v>
      </c>
      <c r="G842" s="13">
        <v>0.92085412556574209</v>
      </c>
      <c r="H842" s="13">
        <v>4.1596228868660594</v>
      </c>
      <c r="I842" s="14">
        <v>9.6722488235075588</v>
      </c>
      <c r="J842" s="16">
        <v>0.76629999999999998</v>
      </c>
      <c r="K842" s="16">
        <v>0.76629999999999998</v>
      </c>
      <c r="L842" s="13">
        <v>0.36990000000000001</v>
      </c>
      <c r="M842" s="13">
        <v>5.28E-2</v>
      </c>
      <c r="N842" s="13">
        <v>9.9299999999999999E-2</v>
      </c>
      <c r="O842" s="13">
        <v>5.8700000000000002E-2</v>
      </c>
      <c r="P842" s="16">
        <v>0.5494</v>
      </c>
      <c r="Q842" s="16">
        <v>0.52929999999999999</v>
      </c>
      <c r="R842" s="16">
        <v>0.52929999999999999</v>
      </c>
      <c r="S842" s="16">
        <f t="shared" si="28"/>
        <v>0.53600000000000003</v>
      </c>
      <c r="T842" s="18">
        <v>0.81081081081080997</v>
      </c>
      <c r="U842" s="1">
        <v>19.801980199999999</v>
      </c>
      <c r="V842" s="1">
        <f t="shared" si="27"/>
        <v>3.0350481840989336</v>
      </c>
      <c r="W842" s="26"/>
      <c r="X842">
        <v>3.8399999999999997E-2</v>
      </c>
      <c r="Y842" s="1">
        <v>0.19320000000000001</v>
      </c>
      <c r="Z842" s="1">
        <v>0.1767</v>
      </c>
      <c r="AA842" s="1">
        <v>17421</v>
      </c>
      <c r="AB842" s="1">
        <v>101</v>
      </c>
      <c r="AC842" s="29">
        <v>3109</v>
      </c>
    </row>
    <row r="843" spans="1:29">
      <c r="A843" s="12">
        <v>66</v>
      </c>
      <c r="B843" s="12" t="s">
        <v>355</v>
      </c>
      <c r="C843" s="12">
        <v>66456</v>
      </c>
      <c r="D843" s="12" t="s">
        <v>867</v>
      </c>
      <c r="E843" s="17">
        <v>0.92114901632482216</v>
      </c>
      <c r="F843" s="17">
        <v>7.8850983675177899E-2</v>
      </c>
      <c r="G843" s="13">
        <v>1</v>
      </c>
      <c r="H843" s="13">
        <v>11.674403183023873</v>
      </c>
      <c r="I843" s="14">
        <v>9.8581240107845982</v>
      </c>
      <c r="J843" s="16">
        <v>0.72209999999999996</v>
      </c>
      <c r="K843" s="16">
        <v>0.72209999999999996</v>
      </c>
      <c r="L843" s="13">
        <v>0.28100000000000003</v>
      </c>
      <c r="M843" s="13">
        <v>7.8600000000000003E-2</v>
      </c>
      <c r="N843" s="13">
        <v>0.1087</v>
      </c>
      <c r="O843" s="13">
        <v>8.8999999999999999E-3</v>
      </c>
      <c r="P843" s="16">
        <v>0.87809999999999999</v>
      </c>
      <c r="Q843" s="16">
        <v>0.48409999999999997</v>
      </c>
      <c r="R843" s="16">
        <v>0.4763</v>
      </c>
      <c r="S843" s="16">
        <f t="shared" si="28"/>
        <v>0.61283333333333334</v>
      </c>
      <c r="T843" s="18">
        <v>0.75043427909669902</v>
      </c>
      <c r="U843" s="1">
        <v>19.283746560000001</v>
      </c>
      <c r="V843" s="1">
        <f t="shared" si="27"/>
        <v>3.0098199032777084</v>
      </c>
      <c r="W843" s="25"/>
      <c r="X843">
        <v>1.7899999999999999E-2</v>
      </c>
      <c r="Y843" s="1">
        <v>4.3099999999999999E-2</v>
      </c>
      <c r="Z843" s="1">
        <v>4.2200000000000001E-2</v>
      </c>
      <c r="AA843" s="1">
        <v>18387</v>
      </c>
      <c r="AB843" s="1">
        <v>363</v>
      </c>
      <c r="AC843" s="29">
        <v>4931</v>
      </c>
    </row>
    <row r="844" spans="1:29">
      <c r="A844" s="12">
        <v>66</v>
      </c>
      <c r="B844" s="12" t="s">
        <v>355</v>
      </c>
      <c r="C844" s="12">
        <v>66572</v>
      </c>
      <c r="D844" s="12" t="s">
        <v>869</v>
      </c>
      <c r="E844" s="17">
        <v>0.92664074355083459</v>
      </c>
      <c r="F844" s="17">
        <v>7.3359256449165397E-2</v>
      </c>
      <c r="G844" s="13">
        <v>1</v>
      </c>
      <c r="H844" s="13">
        <v>12.623385012919897</v>
      </c>
      <c r="I844" s="14">
        <v>9.9565068565117638</v>
      </c>
      <c r="J844" s="16">
        <v>1.026</v>
      </c>
      <c r="K844" s="16">
        <v>1.026</v>
      </c>
      <c r="L844" s="13">
        <v>0.35510000000000003</v>
      </c>
      <c r="M844" s="13">
        <v>3.4200000000000001E-2</v>
      </c>
      <c r="N844" s="13">
        <v>9.6600000000000005E-2</v>
      </c>
      <c r="O844" s="13">
        <v>0.1091</v>
      </c>
      <c r="P844" s="16">
        <v>0.67209999999999992</v>
      </c>
      <c r="Q844" s="16">
        <v>0.27239999999999998</v>
      </c>
      <c r="R844" s="16">
        <v>0.2833</v>
      </c>
      <c r="S844" s="16">
        <f t="shared" si="28"/>
        <v>0.40926666666666661</v>
      </c>
      <c r="T844" s="18">
        <v>0.73219068023567202</v>
      </c>
      <c r="U844" s="1">
        <v>39.603960399999998</v>
      </c>
      <c r="V844" s="1">
        <f t="shared" si="27"/>
        <v>3.703865608648337</v>
      </c>
      <c r="W844" s="25"/>
      <c r="X844">
        <v>4.0800000000000003E-2</v>
      </c>
      <c r="Y844" s="1">
        <v>2.1299999999999999E-2</v>
      </c>
      <c r="Z844" s="1">
        <v>2.1100000000000001E-2</v>
      </c>
      <c r="AA844" s="1">
        <v>18266</v>
      </c>
      <c r="AB844" s="1">
        <v>505</v>
      </c>
      <c r="AC844" s="29">
        <v>5261</v>
      </c>
    </row>
    <row r="845" spans="1:29">
      <c r="A845" s="12">
        <v>66</v>
      </c>
      <c r="B845" s="12" t="s">
        <v>355</v>
      </c>
      <c r="C845" s="12">
        <v>66594</v>
      </c>
      <c r="D845" s="12" t="s">
        <v>870</v>
      </c>
      <c r="E845" s="17">
        <v>0.89289501590668086</v>
      </c>
      <c r="F845" s="17">
        <v>0.1071049840933192</v>
      </c>
      <c r="G845" s="13">
        <v>0.97881098106589359</v>
      </c>
      <c r="H845" s="13">
        <v>8.3337883959044365</v>
      </c>
      <c r="I845" s="14">
        <v>10.216398679033684</v>
      </c>
      <c r="J845" s="16">
        <v>0.90059999999999996</v>
      </c>
      <c r="K845" s="16">
        <v>0.90059999999999996</v>
      </c>
      <c r="L845" s="13">
        <v>0.64019999999999999</v>
      </c>
      <c r="M845" s="13">
        <v>3.78E-2</v>
      </c>
      <c r="N845" s="13">
        <v>5.1700000000000003E-2</v>
      </c>
      <c r="O845" s="13">
        <v>2.69E-2</v>
      </c>
      <c r="P845" s="16">
        <v>0.90910000000000002</v>
      </c>
      <c r="Q845" s="16">
        <v>0.20679999999999998</v>
      </c>
      <c r="R845" s="16">
        <v>0.20190000000000002</v>
      </c>
      <c r="S845" s="16">
        <f t="shared" si="28"/>
        <v>0.43926666666666664</v>
      </c>
      <c r="T845" s="18">
        <v>1</v>
      </c>
      <c r="U845" s="1">
        <v>4.8780487800000003</v>
      </c>
      <c r="V845" s="1">
        <f t="shared" si="27"/>
        <v>1.7712248667033597</v>
      </c>
      <c r="W845" s="26"/>
      <c r="X845">
        <v>3.7699999999999997E-2</v>
      </c>
      <c r="Y845" s="1">
        <v>0.29970000000000002</v>
      </c>
      <c r="Z845" s="1">
        <v>0.2621</v>
      </c>
      <c r="AA845" s="1">
        <v>28224</v>
      </c>
      <c r="AB845" s="1">
        <v>205</v>
      </c>
      <c r="AC845" s="29">
        <v>5566</v>
      </c>
    </row>
    <row r="846" spans="1:29" ht="25.5">
      <c r="A846" s="12">
        <v>66</v>
      </c>
      <c r="B846" s="12" t="s">
        <v>355</v>
      </c>
      <c r="C846" s="12">
        <v>66682</v>
      </c>
      <c r="D846" s="12" t="s">
        <v>871</v>
      </c>
      <c r="E846" s="17">
        <v>0.58153904473085671</v>
      </c>
      <c r="F846" s="17">
        <v>0.41844831943391458</v>
      </c>
      <c r="G846" s="13">
        <v>0.98974487243621811</v>
      </c>
      <c r="H846" s="13">
        <v>1.3897092127910138</v>
      </c>
      <c r="I846" s="14">
        <v>11.278986350694813</v>
      </c>
      <c r="J846" s="16">
        <v>0.88870000000000005</v>
      </c>
      <c r="K846" s="16">
        <v>0.88859999999999995</v>
      </c>
      <c r="L846" s="13">
        <v>0.53010000000000002</v>
      </c>
      <c r="M846" s="13">
        <v>5.57E-2</v>
      </c>
      <c r="N846" s="13">
        <v>8.2699999999999996E-2</v>
      </c>
      <c r="O846" s="13">
        <v>5.2699999999999997E-2</v>
      </c>
      <c r="P846" s="16">
        <v>0.87120000000000009</v>
      </c>
      <c r="Q846" s="16">
        <v>0.80650000000000011</v>
      </c>
      <c r="R846" s="16">
        <v>0.81430000000000002</v>
      </c>
      <c r="S846" s="16">
        <f t="shared" si="28"/>
        <v>0.83066666666666666</v>
      </c>
      <c r="T846" s="18">
        <v>1</v>
      </c>
      <c r="U846" s="1">
        <v>9.5057034219999998</v>
      </c>
      <c r="V846" s="1">
        <f t="shared" si="27"/>
        <v>2.3519182927405851</v>
      </c>
      <c r="W846" s="25"/>
      <c r="X846">
        <v>8.6999999999999994E-2</v>
      </c>
      <c r="Y846" s="1">
        <v>0.62170000000000003</v>
      </c>
      <c r="Z846" s="1">
        <v>0.48349999999999999</v>
      </c>
      <c r="AA846" s="1">
        <v>83030</v>
      </c>
      <c r="AB846" s="1">
        <v>526</v>
      </c>
      <c r="AC846" s="29">
        <v>13224</v>
      </c>
    </row>
    <row r="847" spans="1:29">
      <c r="A847" s="12">
        <v>66</v>
      </c>
      <c r="B847" s="12" t="s">
        <v>355</v>
      </c>
      <c r="C847" s="12">
        <v>66687</v>
      </c>
      <c r="D847" s="12" t="s">
        <v>116</v>
      </c>
      <c r="E847" s="17">
        <v>0.83302629375314019</v>
      </c>
      <c r="F847" s="17">
        <v>0.16697370624685981</v>
      </c>
      <c r="G847" s="13">
        <v>0.92854365912448489</v>
      </c>
      <c r="H847" s="13">
        <v>4.9864661654135336</v>
      </c>
      <c r="I847" s="14">
        <v>9.3879006116684263</v>
      </c>
      <c r="J847" s="16">
        <v>0.72750000000000004</v>
      </c>
      <c r="K847" s="16">
        <v>0.72750000000000004</v>
      </c>
      <c r="L847" s="13">
        <v>0.37530000000000002</v>
      </c>
      <c r="M847" s="13">
        <v>7.8E-2</v>
      </c>
      <c r="N847" s="13">
        <v>7.5700000000000003E-2</v>
      </c>
      <c r="O847" s="13">
        <v>5.62E-2</v>
      </c>
      <c r="P847" s="16">
        <v>0.57489999999999997</v>
      </c>
      <c r="Q847" s="16">
        <v>0.52200000000000002</v>
      </c>
      <c r="R847" s="16">
        <v>0.52159999999999995</v>
      </c>
      <c r="S847" s="16">
        <f t="shared" si="28"/>
        <v>0.53949999999999998</v>
      </c>
      <c r="T847" s="18">
        <v>0.78698435277382606</v>
      </c>
      <c r="U847" s="1">
        <v>13.33333333</v>
      </c>
      <c r="V847" s="1">
        <f t="shared" si="27"/>
        <v>2.6625878267928944</v>
      </c>
      <c r="W847" s="26"/>
      <c r="X847">
        <v>5.4300000000000001E-2</v>
      </c>
      <c r="Y847" s="1">
        <v>0.1525</v>
      </c>
      <c r="Z847" s="1">
        <v>0.1419</v>
      </c>
      <c r="AA847" s="1">
        <v>13026</v>
      </c>
      <c r="AB847" s="1">
        <v>75</v>
      </c>
      <c r="AC847" s="29">
        <v>2336</v>
      </c>
    </row>
    <row r="848" spans="1:29" ht="25.5">
      <c r="A848" s="12">
        <v>68</v>
      </c>
      <c r="B848" s="12" t="s">
        <v>872</v>
      </c>
      <c r="C848" s="12">
        <v>68001</v>
      </c>
      <c r="D848" s="12" t="s">
        <v>877</v>
      </c>
      <c r="E848" s="17">
        <v>0.39461160557547365</v>
      </c>
      <c r="F848" s="17">
        <v>0.60537558077850584</v>
      </c>
      <c r="G848" s="13">
        <v>1</v>
      </c>
      <c r="H848" s="13">
        <v>0.65184454552574156</v>
      </c>
      <c r="I848" s="14">
        <v>13.567586233923702</v>
      </c>
      <c r="J848" s="16">
        <v>0.98709999999999998</v>
      </c>
      <c r="K848" s="16">
        <v>0.98540000000000005</v>
      </c>
      <c r="L848" s="13">
        <v>0.6069</v>
      </c>
      <c r="M848" s="13">
        <v>4.48E-2</v>
      </c>
      <c r="N848" s="13">
        <v>6.9699999999999998E-2</v>
      </c>
      <c r="O848" s="13">
        <v>7.2400000000000006E-2</v>
      </c>
      <c r="P848" s="16">
        <v>0.82709999999999995</v>
      </c>
      <c r="Q848" s="16">
        <v>0.82629999999999992</v>
      </c>
      <c r="R848" s="16"/>
      <c r="S848" s="16">
        <f t="shared" si="28"/>
        <v>0.55113333333333336</v>
      </c>
      <c r="T848" s="18">
        <v>1</v>
      </c>
      <c r="U848" s="1">
        <v>5.9003051879999999</v>
      </c>
      <c r="V848" s="1">
        <f t="shared" si="27"/>
        <v>1.9315656407700172</v>
      </c>
      <c r="W848" s="25"/>
      <c r="X848">
        <v>0.4647</v>
      </c>
      <c r="Y848" s="1">
        <v>14.5824</v>
      </c>
      <c r="Z848" s="1">
        <v>2.7461000000000002</v>
      </c>
      <c r="AA848" s="1">
        <v>615463</v>
      </c>
      <c r="AB848" s="1">
        <v>4915</v>
      </c>
      <c r="AC848" s="29">
        <v>100763</v>
      </c>
    </row>
    <row r="849" spans="1:29" ht="25.5">
      <c r="A849" s="12">
        <v>68</v>
      </c>
      <c r="B849" s="12" t="s">
        <v>872</v>
      </c>
      <c r="C849" s="12">
        <v>68013</v>
      </c>
      <c r="D849" s="12" t="s">
        <v>873</v>
      </c>
      <c r="E849" s="17">
        <v>0.89622641509433965</v>
      </c>
      <c r="F849" s="17">
        <v>0.10377358490566038</v>
      </c>
      <c r="G849" s="13">
        <v>0.86796315250767653</v>
      </c>
      <c r="H849" s="13">
        <v>8.5875706214689274</v>
      </c>
      <c r="I849" s="14">
        <v>7.4366172652342266</v>
      </c>
      <c r="J849" s="16">
        <v>0.7782</v>
      </c>
      <c r="K849" s="16">
        <v>0.7782</v>
      </c>
      <c r="L849" s="13">
        <v>0.68089999999999995</v>
      </c>
      <c r="M849" s="13">
        <v>4.4000000000000003E-3</v>
      </c>
      <c r="N849" s="13">
        <v>1.3299999999999999E-2</v>
      </c>
      <c r="O849" s="13">
        <v>1.78E-2</v>
      </c>
      <c r="P849" s="16">
        <v>1</v>
      </c>
      <c r="Q849" s="16">
        <v>0.11560000000000001</v>
      </c>
      <c r="R849" s="16">
        <v>0.08</v>
      </c>
      <c r="S849" s="16">
        <f t="shared" si="28"/>
        <v>0.39853333333333335</v>
      </c>
      <c r="T849" s="18">
        <v>0.71091113610798606</v>
      </c>
      <c r="U849" s="1">
        <v>0</v>
      </c>
      <c r="V849" s="1">
        <f t="shared" si="27"/>
        <v>0</v>
      </c>
      <c r="W849" s="25"/>
      <c r="X849">
        <v>3.3399999999999999E-2</v>
      </c>
      <c r="Y849" s="1">
        <v>0.02</v>
      </c>
      <c r="Z849" s="1">
        <v>1.9800000000000002E-2</v>
      </c>
      <c r="AA849" s="1">
        <v>1891</v>
      </c>
      <c r="AB849" s="1">
        <v>7</v>
      </c>
      <c r="AC849" s="29">
        <v>272</v>
      </c>
    </row>
    <row r="850" spans="1:29" ht="25.5">
      <c r="A850" s="12">
        <v>68</v>
      </c>
      <c r="B850" s="12" t="s">
        <v>872</v>
      </c>
      <c r="C850" s="12">
        <v>68020</v>
      </c>
      <c r="D850" s="12" t="s">
        <v>364</v>
      </c>
      <c r="E850" s="17">
        <v>0.95031847133757963</v>
      </c>
      <c r="F850" s="17">
        <v>4.9681528662420385E-2</v>
      </c>
      <c r="G850" s="13">
        <v>0.72685185185185186</v>
      </c>
      <c r="H850" s="13">
        <v>19.006369426751593</v>
      </c>
      <c r="I850" s="14">
        <v>8.052296499538647</v>
      </c>
      <c r="J850" s="16">
        <v>0.73099999999999998</v>
      </c>
      <c r="K850" s="16">
        <v>0.73099999999999998</v>
      </c>
      <c r="L850" s="13">
        <v>0.57389999999999997</v>
      </c>
      <c r="M850" s="13">
        <v>1.2999999999999999E-2</v>
      </c>
      <c r="N850" s="13">
        <v>3.7199999999999997E-2</v>
      </c>
      <c r="O850" s="13">
        <v>2.7900000000000001E-2</v>
      </c>
      <c r="P850" s="16">
        <v>0.11199999999999999</v>
      </c>
      <c r="Q850" s="16">
        <v>8.3699999999999997E-2</v>
      </c>
      <c r="R850" s="16">
        <v>8.539999999999999E-2</v>
      </c>
      <c r="S850" s="16">
        <f t="shared" si="28"/>
        <v>9.3699999999999992E-2</v>
      </c>
      <c r="T850" s="18">
        <v>0.85683942225998289</v>
      </c>
      <c r="U850" s="1">
        <v>0</v>
      </c>
      <c r="V850" s="1">
        <f t="shared" si="27"/>
        <v>0</v>
      </c>
      <c r="W850" s="26"/>
      <c r="X850">
        <v>2.01E-2</v>
      </c>
      <c r="Y850" s="1">
        <v>3.1800000000000002E-2</v>
      </c>
      <c r="Z850" s="1">
        <v>3.1300000000000001E-2</v>
      </c>
      <c r="AA850" s="1">
        <v>4223</v>
      </c>
      <c r="AB850" s="1">
        <v>11</v>
      </c>
      <c r="AC850" s="29">
        <v>683</v>
      </c>
    </row>
    <row r="851" spans="1:29" ht="25.5">
      <c r="A851" s="12">
        <v>68</v>
      </c>
      <c r="B851" s="12" t="s">
        <v>872</v>
      </c>
      <c r="C851" s="12">
        <v>68051</v>
      </c>
      <c r="D851" s="12" t="s">
        <v>874</v>
      </c>
      <c r="E851" s="17">
        <v>0.84829362524146812</v>
      </c>
      <c r="F851" s="17">
        <v>0.15170637475853188</v>
      </c>
      <c r="G851" s="13">
        <v>0.89099254159495123</v>
      </c>
      <c r="H851" s="13">
        <v>5.5869380831212894</v>
      </c>
      <c r="I851" s="14">
        <v>8.9575105102916126</v>
      </c>
      <c r="J851" s="16">
        <v>0.87590000000000001</v>
      </c>
      <c r="K851" s="16">
        <v>0.87590000000000001</v>
      </c>
      <c r="L851" s="13">
        <v>0.57609999999999995</v>
      </c>
      <c r="M851" s="13">
        <v>1.3899999999999999E-2</v>
      </c>
      <c r="N851" s="13">
        <v>4.0899999999999999E-2</v>
      </c>
      <c r="O851" s="13">
        <v>2.8400000000000002E-2</v>
      </c>
      <c r="P851" s="16">
        <v>0.25480000000000003</v>
      </c>
      <c r="Q851" s="16">
        <v>0.26839999999999997</v>
      </c>
      <c r="R851" s="16">
        <v>0.31230000000000002</v>
      </c>
      <c r="S851" s="16">
        <f t="shared" si="28"/>
        <v>0.27850000000000003</v>
      </c>
      <c r="T851" s="18">
        <v>1</v>
      </c>
      <c r="U851" s="1">
        <v>17.85714286</v>
      </c>
      <c r="V851" s="1">
        <f t="shared" si="27"/>
        <v>2.9368917736825728</v>
      </c>
      <c r="W851" s="25"/>
      <c r="X851">
        <v>4.1000000000000002E-2</v>
      </c>
      <c r="Y851" s="1">
        <v>0.19070000000000001</v>
      </c>
      <c r="Z851" s="1">
        <v>0.17460000000000001</v>
      </c>
      <c r="AA851" s="1">
        <v>8824</v>
      </c>
      <c r="AB851" s="1">
        <v>56</v>
      </c>
      <c r="AC851" s="29">
        <v>1610</v>
      </c>
    </row>
    <row r="852" spans="1:29" ht="25.5">
      <c r="A852" s="12">
        <v>68</v>
      </c>
      <c r="B852" s="12" t="s">
        <v>872</v>
      </c>
      <c r="C852" s="12">
        <v>68077</v>
      </c>
      <c r="D852" s="12" t="s">
        <v>28</v>
      </c>
      <c r="E852" s="17">
        <v>0.72056847910627164</v>
      </c>
      <c r="F852" s="17">
        <v>0.27943152089372836</v>
      </c>
      <c r="G852" s="13">
        <v>0.85329874204350054</v>
      </c>
      <c r="H852" s="13">
        <v>2.578368121442125</v>
      </c>
      <c r="I852" s="14">
        <v>10.250157614133787</v>
      </c>
      <c r="J852" s="16">
        <v>0.94950000000000001</v>
      </c>
      <c r="K852" s="16">
        <v>0.9486</v>
      </c>
      <c r="L852" s="13">
        <v>0.44890000000000002</v>
      </c>
      <c r="M852" s="13">
        <v>4.2599999999999999E-2</v>
      </c>
      <c r="N852" s="13">
        <v>8.3599999999999994E-2</v>
      </c>
      <c r="O852" s="13">
        <v>8.6199999999999999E-2</v>
      </c>
      <c r="P852" s="16">
        <v>0.74580000000000002</v>
      </c>
      <c r="Q852" s="16">
        <v>0.65980000000000005</v>
      </c>
      <c r="R852" s="16">
        <v>0.68330000000000002</v>
      </c>
      <c r="S852" s="16">
        <f t="shared" si="28"/>
        <v>0.69630000000000003</v>
      </c>
      <c r="T852" s="18">
        <v>1</v>
      </c>
      <c r="U852" s="1">
        <v>4.0983606559999997</v>
      </c>
      <c r="V852" s="1">
        <f t="shared" si="27"/>
        <v>1.6289190480573699</v>
      </c>
      <c r="W852" s="26"/>
      <c r="X852">
        <v>6.9400000000000003E-2</v>
      </c>
      <c r="Y852" s="1">
        <v>2.8803999999999998</v>
      </c>
      <c r="Z852" s="1">
        <v>1.3559000000000001</v>
      </c>
      <c r="AA852" s="1">
        <v>33724</v>
      </c>
      <c r="AB852" s="1">
        <v>244</v>
      </c>
      <c r="AC852" s="29">
        <v>6020</v>
      </c>
    </row>
    <row r="853" spans="1:29" ht="25.5">
      <c r="A853" s="12">
        <v>68</v>
      </c>
      <c r="B853" s="12" t="s">
        <v>872</v>
      </c>
      <c r="C853" s="12">
        <v>68079</v>
      </c>
      <c r="D853" s="12" t="s">
        <v>875</v>
      </c>
      <c r="E853" s="17">
        <v>0.76350461133069825</v>
      </c>
      <c r="F853" s="17">
        <v>0.23649538866930173</v>
      </c>
      <c r="G853" s="13">
        <v>0.67992475141091102</v>
      </c>
      <c r="H853" s="13">
        <v>3.2266146993318485</v>
      </c>
      <c r="I853" s="14">
        <v>8.9347186140167683</v>
      </c>
      <c r="J853" s="16">
        <v>0.76200000000000001</v>
      </c>
      <c r="K853" s="16">
        <v>0.76200000000000001</v>
      </c>
      <c r="L853" s="13">
        <v>0.68369999999999997</v>
      </c>
      <c r="M853" s="13">
        <v>1.67E-2</v>
      </c>
      <c r="N853" s="13">
        <v>9.2499999999999999E-2</v>
      </c>
      <c r="O853" s="13">
        <v>6.1400000000000003E-2</v>
      </c>
      <c r="P853" s="16">
        <v>0.90079999999999993</v>
      </c>
      <c r="Q853" s="16">
        <v>0.48899999999999999</v>
      </c>
      <c r="R853" s="16">
        <v>0.37359999999999999</v>
      </c>
      <c r="S853" s="16">
        <f t="shared" si="28"/>
        <v>0.58779999999999999</v>
      </c>
      <c r="T853" s="18">
        <v>0.81635106702735205</v>
      </c>
      <c r="U853" s="1">
        <v>0</v>
      </c>
      <c r="V853" s="1">
        <f t="shared" si="27"/>
        <v>0</v>
      </c>
      <c r="W853" s="25"/>
      <c r="X853">
        <v>5.5399999999999998E-2</v>
      </c>
      <c r="Y853" s="1">
        <v>0.26129999999999998</v>
      </c>
      <c r="Z853" s="1">
        <v>0.2321</v>
      </c>
      <c r="AA853" s="1">
        <v>12657</v>
      </c>
      <c r="AB853" s="1">
        <v>66</v>
      </c>
      <c r="AC853" s="29">
        <v>2104</v>
      </c>
    </row>
    <row r="854" spans="1:29" ht="25.5">
      <c r="A854" s="12">
        <v>68</v>
      </c>
      <c r="B854" s="12" t="s">
        <v>872</v>
      </c>
      <c r="C854" s="12">
        <v>68081</v>
      </c>
      <c r="D854" s="12" t="s">
        <v>876</v>
      </c>
      <c r="E854" s="17">
        <v>0.53605371171157035</v>
      </c>
      <c r="F854" s="17">
        <v>0.46391882028864945</v>
      </c>
      <c r="G854" s="13">
        <v>1</v>
      </c>
      <c r="H854" s="13">
        <v>1.155480558586448</v>
      </c>
      <c r="I854" s="14">
        <v>12.448402948253428</v>
      </c>
      <c r="J854" s="16">
        <v>1.1353</v>
      </c>
      <c r="K854" s="16">
        <v>1.1342000000000001</v>
      </c>
      <c r="L854" s="13">
        <v>0.64839999999999998</v>
      </c>
      <c r="M854" s="13">
        <v>3.4799999999999998E-2</v>
      </c>
      <c r="N854" s="13">
        <v>9.3100000000000002E-2</v>
      </c>
      <c r="O854" s="13">
        <v>9.5000000000000001E-2</v>
      </c>
      <c r="P854" s="16">
        <v>0.99870000000000003</v>
      </c>
      <c r="Q854" s="16">
        <v>0.84319999999999995</v>
      </c>
      <c r="R854" s="16">
        <v>0.94359999999999999</v>
      </c>
      <c r="S854" s="16">
        <f t="shared" si="28"/>
        <v>0.92849999999999999</v>
      </c>
      <c r="T854" s="18">
        <v>1</v>
      </c>
      <c r="U854" s="1">
        <v>6.2344139649999999</v>
      </c>
      <c r="V854" s="1">
        <f t="shared" si="27"/>
        <v>1.9788493568027701</v>
      </c>
      <c r="W854" s="26"/>
      <c r="X854" s="28">
        <v>14287</v>
      </c>
      <c r="Y854" s="1">
        <v>2.0485000000000002</v>
      </c>
      <c r="Z854" s="1">
        <v>1.1147</v>
      </c>
      <c r="AA854" s="1">
        <v>226559</v>
      </c>
      <c r="AB854" s="1">
        <v>2406</v>
      </c>
      <c r="AC854" s="29">
        <v>42615</v>
      </c>
    </row>
    <row r="855" spans="1:29" ht="25.5">
      <c r="A855" s="12">
        <v>68</v>
      </c>
      <c r="B855" s="12" t="s">
        <v>872</v>
      </c>
      <c r="C855" s="12">
        <v>68092</v>
      </c>
      <c r="D855" s="12" t="s">
        <v>32</v>
      </c>
      <c r="E855" s="17">
        <v>0.82751744765702895</v>
      </c>
      <c r="F855" s="17">
        <v>0.17248255234297108</v>
      </c>
      <c r="G855" s="13">
        <v>0.63895524765089984</v>
      </c>
      <c r="H855" s="13">
        <v>4.7907647907647908</v>
      </c>
      <c r="I855" s="14">
        <v>8.2972943702669166</v>
      </c>
      <c r="J855" s="16">
        <v>0.79590000000000005</v>
      </c>
      <c r="K855" s="16">
        <v>0.79590000000000005</v>
      </c>
      <c r="L855" s="13">
        <v>0.32</v>
      </c>
      <c r="M855" s="13">
        <v>3.5299999999999998E-2</v>
      </c>
      <c r="N855" s="13">
        <v>6.2100000000000002E-2</v>
      </c>
      <c r="O855" s="13">
        <v>6.1100000000000002E-2</v>
      </c>
      <c r="P855" s="16">
        <v>0.50450000000000006</v>
      </c>
      <c r="Q855" s="16">
        <v>0.49909999999999999</v>
      </c>
      <c r="R855" s="16">
        <v>0.50719999999999998</v>
      </c>
      <c r="S855" s="16">
        <f t="shared" si="28"/>
        <v>0.50360000000000005</v>
      </c>
      <c r="T855" s="18">
        <v>1</v>
      </c>
      <c r="U855" s="1">
        <v>30.3030303</v>
      </c>
      <c r="V855" s="1">
        <f t="shared" si="27"/>
        <v>3.4437149075563527</v>
      </c>
      <c r="W855" s="25"/>
      <c r="X855">
        <v>0.50070000000000003</v>
      </c>
      <c r="Y855" s="1">
        <v>0.13200000000000001</v>
      </c>
      <c r="Z855" s="1">
        <v>0.124</v>
      </c>
      <c r="AA855" s="1">
        <v>6747</v>
      </c>
      <c r="AB855" s="1">
        <v>33</v>
      </c>
      <c r="AC855" s="29">
        <v>1364</v>
      </c>
    </row>
    <row r="856" spans="1:29" ht="25.5">
      <c r="A856" s="12">
        <v>68</v>
      </c>
      <c r="B856" s="12" t="s">
        <v>872</v>
      </c>
      <c r="C856" s="12">
        <v>68101</v>
      </c>
      <c r="D856" s="12" t="s">
        <v>169</v>
      </c>
      <c r="E856" s="17">
        <v>0.90358361774744023</v>
      </c>
      <c r="F856" s="17">
        <v>9.6416382252559732E-2</v>
      </c>
      <c r="G856" s="13">
        <v>0.68883291351805209</v>
      </c>
      <c r="H856" s="13">
        <v>9.3598484848484844</v>
      </c>
      <c r="I856" s="14">
        <v>9.0124990035241908</v>
      </c>
      <c r="J856" s="16">
        <v>0.72409999999999997</v>
      </c>
      <c r="K856" s="16">
        <v>0.72409999999999997</v>
      </c>
      <c r="L856" s="13">
        <v>0.51919999999999999</v>
      </c>
      <c r="M856" s="13">
        <v>2.4E-2</v>
      </c>
      <c r="N856" s="13">
        <v>7.4800000000000005E-2</v>
      </c>
      <c r="O856" s="13">
        <v>3.3099999999999997E-2</v>
      </c>
      <c r="P856" s="16">
        <v>7.9600000000000004E-2</v>
      </c>
      <c r="Q856" s="16">
        <v>7.2700000000000001E-2</v>
      </c>
      <c r="R856" s="16">
        <v>7.2700000000000001E-2</v>
      </c>
      <c r="S856" s="16">
        <f t="shared" si="28"/>
        <v>7.4999999999999997E-2</v>
      </c>
      <c r="T856" s="18">
        <v>0.90106672244300301</v>
      </c>
      <c r="U856" s="1">
        <v>0</v>
      </c>
      <c r="V856" s="1">
        <f t="shared" si="27"/>
        <v>0</v>
      </c>
      <c r="W856" s="26"/>
      <c r="X856">
        <v>3.85E-2</v>
      </c>
      <c r="Y856" s="1">
        <v>2.0199999999999999E-2</v>
      </c>
      <c r="Z856" s="1">
        <v>0.02</v>
      </c>
      <c r="AA856" s="1">
        <v>11558</v>
      </c>
      <c r="AB856" s="1">
        <v>52</v>
      </c>
      <c r="AC856" s="29">
        <v>2182</v>
      </c>
    </row>
    <row r="857" spans="1:29" ht="25.5">
      <c r="A857" s="12">
        <v>68</v>
      </c>
      <c r="B857" s="12" t="s">
        <v>872</v>
      </c>
      <c r="C857" s="12">
        <v>68121</v>
      </c>
      <c r="D857" s="12" t="s">
        <v>529</v>
      </c>
      <c r="E857" s="17">
        <v>0.84652406417112303</v>
      </c>
      <c r="F857" s="17">
        <v>0.153475935828877</v>
      </c>
      <c r="G857" s="13">
        <v>0.92345679012345683</v>
      </c>
      <c r="H857" s="13">
        <v>5.4965277777777777</v>
      </c>
      <c r="I857" s="14">
        <v>7.5342283262740892</v>
      </c>
      <c r="J857" s="16">
        <v>0.65239999999999998</v>
      </c>
      <c r="K857" s="16">
        <v>0.65239999999999998</v>
      </c>
      <c r="L857" s="13">
        <v>0.44640000000000002</v>
      </c>
      <c r="M857" s="13">
        <v>4.1999999999999997E-3</v>
      </c>
      <c r="N857" s="13">
        <v>5.8799999999999998E-2</v>
      </c>
      <c r="O857" s="13">
        <v>8.4000000000000005E-2</v>
      </c>
      <c r="P857" s="16">
        <v>0.66299999999999992</v>
      </c>
      <c r="Q857" s="16">
        <v>0.1588</v>
      </c>
      <c r="R857" s="16">
        <v>0.14960000000000001</v>
      </c>
      <c r="S857" s="16">
        <f t="shared" si="28"/>
        <v>0.32379999999999992</v>
      </c>
      <c r="T857" s="18">
        <v>0.96220472440944804</v>
      </c>
      <c r="U857" s="1">
        <v>0</v>
      </c>
      <c r="V857" s="1">
        <f t="shared" si="27"/>
        <v>0</v>
      </c>
      <c r="W857" s="26"/>
      <c r="X857">
        <v>2.9399999999999999E-2</v>
      </c>
      <c r="Y857" s="1">
        <v>4.7E-2</v>
      </c>
      <c r="Z857" s="1">
        <v>4.5900000000000003E-2</v>
      </c>
      <c r="AA857" s="1">
        <v>2117</v>
      </c>
      <c r="AB857" s="1">
        <v>7</v>
      </c>
      <c r="AC857" s="29">
        <v>360</v>
      </c>
    </row>
    <row r="858" spans="1:29" ht="25.5">
      <c r="A858" s="12">
        <v>68</v>
      </c>
      <c r="B858" s="12" t="s">
        <v>872</v>
      </c>
      <c r="C858" s="12">
        <v>68132</v>
      </c>
      <c r="D858" s="12" t="s">
        <v>878</v>
      </c>
      <c r="E858" s="17">
        <v>0.76745762711864407</v>
      </c>
      <c r="F858" s="17">
        <v>0.23254237288135593</v>
      </c>
      <c r="G858" s="13">
        <v>0.65207780725022102</v>
      </c>
      <c r="H858" s="13">
        <v>3.2906976744186047</v>
      </c>
      <c r="I858" s="14">
        <v>7.2970910051604179</v>
      </c>
      <c r="J858" s="16">
        <v>0.94889999999999997</v>
      </c>
      <c r="K858" s="16">
        <v>0.94889999999999997</v>
      </c>
      <c r="L858" s="13">
        <v>0.64149999999999996</v>
      </c>
      <c r="M858" s="13">
        <v>1.46E-2</v>
      </c>
      <c r="N858" s="13">
        <v>3.6600000000000001E-2</v>
      </c>
      <c r="O858" s="13">
        <v>7.8E-2</v>
      </c>
      <c r="P858" s="16">
        <v>0.48670000000000002</v>
      </c>
      <c r="Q858" s="16">
        <v>0.48670000000000002</v>
      </c>
      <c r="R858" s="16">
        <v>0.48670000000000002</v>
      </c>
      <c r="S858" s="16">
        <f t="shared" si="28"/>
        <v>0.48670000000000008</v>
      </c>
      <c r="T858" s="18">
        <v>0.78904665314401601</v>
      </c>
      <c r="U858" s="1">
        <v>0</v>
      </c>
      <c r="V858" s="1">
        <f t="shared" si="27"/>
        <v>0</v>
      </c>
      <c r="W858" s="25"/>
      <c r="X858">
        <v>9.4E-2</v>
      </c>
      <c r="Y858" s="1">
        <v>0.37509999999999999</v>
      </c>
      <c r="Z858" s="1">
        <v>0.31850000000000001</v>
      </c>
      <c r="AA858" s="1">
        <v>2465</v>
      </c>
      <c r="AB858" s="1">
        <v>15</v>
      </c>
      <c r="AC858" s="29">
        <v>442</v>
      </c>
    </row>
    <row r="859" spans="1:29" ht="25.5">
      <c r="A859" s="12">
        <v>68</v>
      </c>
      <c r="B859" s="12" t="s">
        <v>872</v>
      </c>
      <c r="C859" s="12">
        <v>68147</v>
      </c>
      <c r="D859" s="12" t="s">
        <v>879</v>
      </c>
      <c r="E859" s="17">
        <v>0.86975994267287715</v>
      </c>
      <c r="F859" s="17">
        <v>0.1302400573271229</v>
      </c>
      <c r="G859" s="13">
        <v>0.97044506258692631</v>
      </c>
      <c r="H859" s="13">
        <v>6.6689560439560438</v>
      </c>
      <c r="I859" s="14">
        <v>8.6274815453103599</v>
      </c>
      <c r="J859" s="16">
        <v>0.87739999999999996</v>
      </c>
      <c r="K859" s="16">
        <v>0.87739999999999996</v>
      </c>
      <c r="L859" s="13">
        <v>0.52690000000000003</v>
      </c>
      <c r="M859" s="13">
        <v>1.23E-2</v>
      </c>
      <c r="N859" s="13">
        <v>0.1077</v>
      </c>
      <c r="O859" s="13">
        <v>3.5900000000000001E-2</v>
      </c>
      <c r="P859" s="16">
        <v>0.45119999999999999</v>
      </c>
      <c r="Q859" s="16">
        <v>0.36270000000000002</v>
      </c>
      <c r="R859" s="16">
        <v>0.36579999999999996</v>
      </c>
      <c r="S859" s="16">
        <f t="shared" si="28"/>
        <v>0.39323333333333332</v>
      </c>
      <c r="T859" s="18">
        <v>0.78095238095238106</v>
      </c>
      <c r="U859" s="1">
        <v>0</v>
      </c>
      <c r="V859" s="1">
        <f t="shared" si="27"/>
        <v>0</v>
      </c>
      <c r="W859" s="26"/>
      <c r="X859">
        <v>3.0200000000000001E-2</v>
      </c>
      <c r="Y859" s="1">
        <v>0.122</v>
      </c>
      <c r="Z859" s="1">
        <v>0.11509999999999999</v>
      </c>
      <c r="AA859" s="1">
        <v>6215</v>
      </c>
      <c r="AB859" s="1">
        <v>46</v>
      </c>
      <c r="AC859" s="29">
        <v>1066</v>
      </c>
    </row>
    <row r="860" spans="1:29" ht="25.5">
      <c r="A860" s="12">
        <v>68</v>
      </c>
      <c r="B860" s="12" t="s">
        <v>872</v>
      </c>
      <c r="C860" s="12">
        <v>68152</v>
      </c>
      <c r="D860" s="12" t="s">
        <v>880</v>
      </c>
      <c r="E860" s="17">
        <v>0.94631185807656393</v>
      </c>
      <c r="F860" s="17">
        <v>5.3688141923436038E-2</v>
      </c>
      <c r="G860" s="13">
        <v>0.96096904441453568</v>
      </c>
      <c r="H860" s="13">
        <v>17.549783549783548</v>
      </c>
      <c r="I860" s="14">
        <v>8.3628758310318805</v>
      </c>
      <c r="J860" s="16">
        <v>0.75529999999999997</v>
      </c>
      <c r="K860" s="16">
        <v>0.75529999999999997</v>
      </c>
      <c r="L860" s="13">
        <v>0.44219999999999998</v>
      </c>
      <c r="M860" s="13">
        <v>2.2499999999999999E-2</v>
      </c>
      <c r="N860" s="13">
        <v>4.9299999999999997E-2</v>
      </c>
      <c r="O860" s="13">
        <v>4.2299999999999997E-2</v>
      </c>
      <c r="P860" s="16">
        <v>9.64E-2</v>
      </c>
      <c r="Q860" s="16">
        <v>9.64E-2</v>
      </c>
      <c r="R860" s="16">
        <v>9.64E-2</v>
      </c>
      <c r="S860" s="16">
        <f t="shared" si="28"/>
        <v>9.64E-2</v>
      </c>
      <c r="T860" s="18">
        <v>0.88446438586651699</v>
      </c>
      <c r="U860" s="1">
        <v>0</v>
      </c>
      <c r="V860" s="1">
        <f t="shared" si="27"/>
        <v>0</v>
      </c>
      <c r="W860" s="25"/>
      <c r="X860">
        <v>1.8499999999999999E-2</v>
      </c>
      <c r="Y860" s="1">
        <v>2.64E-2</v>
      </c>
      <c r="Z860" s="1">
        <v>2.6100000000000002E-2</v>
      </c>
      <c r="AA860" s="1">
        <v>4852</v>
      </c>
      <c r="AB860" s="1">
        <v>21</v>
      </c>
      <c r="AC860" s="29">
        <v>975</v>
      </c>
    </row>
    <row r="861" spans="1:29" ht="25.5">
      <c r="A861" s="12">
        <v>68</v>
      </c>
      <c r="B861" s="12" t="s">
        <v>872</v>
      </c>
      <c r="C861" s="12">
        <v>68160</v>
      </c>
      <c r="D861" s="12" t="s">
        <v>881</v>
      </c>
      <c r="E861" s="17">
        <v>0.89530277306168649</v>
      </c>
      <c r="F861" s="17">
        <v>0.10469722693831353</v>
      </c>
      <c r="G861" s="13">
        <v>0.8303571428571429</v>
      </c>
      <c r="H861" s="13">
        <v>8.5053763440860219</v>
      </c>
      <c r="I861" s="14">
        <v>7.4776042431975887</v>
      </c>
      <c r="J861" s="16">
        <v>0.74490000000000001</v>
      </c>
      <c r="K861" s="16">
        <v>0.74490000000000001</v>
      </c>
      <c r="L861" s="13">
        <v>0.45590000000000003</v>
      </c>
      <c r="M861" s="13">
        <v>5.5899999999999998E-2</v>
      </c>
      <c r="N861" s="13">
        <v>3.95E-2</v>
      </c>
      <c r="O861" s="13">
        <v>9.9000000000000008E-3</v>
      </c>
      <c r="P861" s="16">
        <v>0.84</v>
      </c>
      <c r="Q861" s="16">
        <v>0.29710000000000003</v>
      </c>
      <c r="R861" s="16">
        <v>0.29710000000000003</v>
      </c>
      <c r="S861" s="16">
        <f t="shared" si="28"/>
        <v>0.4780666666666667</v>
      </c>
      <c r="T861" s="18">
        <v>0.86062246278754995</v>
      </c>
      <c r="U861" s="1">
        <v>0</v>
      </c>
      <c r="V861" s="1">
        <f t="shared" si="27"/>
        <v>0</v>
      </c>
      <c r="W861" s="26"/>
      <c r="X861">
        <v>1.44E-2</v>
      </c>
      <c r="Y861" s="1">
        <v>2.4899999999999999E-2</v>
      </c>
      <c r="Z861" s="1">
        <v>2.46E-2</v>
      </c>
      <c r="AA861" s="1">
        <v>2167</v>
      </c>
      <c r="AB861" s="1">
        <v>10</v>
      </c>
      <c r="AC861" s="29">
        <v>388</v>
      </c>
    </row>
    <row r="862" spans="1:29" ht="25.5">
      <c r="A862" s="12">
        <v>68</v>
      </c>
      <c r="B862" s="12" t="s">
        <v>872</v>
      </c>
      <c r="C862" s="12">
        <v>68162</v>
      </c>
      <c r="D862" s="12" t="s">
        <v>882</v>
      </c>
      <c r="E862" s="17">
        <v>0.925452016689847</v>
      </c>
      <c r="F862" s="17">
        <v>7.4547983310152985E-2</v>
      </c>
      <c r="G862" s="13">
        <v>1</v>
      </c>
      <c r="H862" s="13">
        <v>12.391061452513966</v>
      </c>
      <c r="I862" s="14">
        <v>8.8805855231024946</v>
      </c>
      <c r="J862" s="16">
        <v>0.96099999999999997</v>
      </c>
      <c r="K862" s="16">
        <v>0.96099999999999997</v>
      </c>
      <c r="L862" s="13">
        <v>0.55810000000000004</v>
      </c>
      <c r="M862" s="13">
        <v>3.1899999999999998E-2</v>
      </c>
      <c r="N862" s="13">
        <v>7.4999999999999997E-2</v>
      </c>
      <c r="O862" s="13">
        <v>6.6100000000000006E-2</v>
      </c>
      <c r="P862" s="16">
        <v>0.26879999999999998</v>
      </c>
      <c r="Q862" s="16">
        <v>0.26879999999999998</v>
      </c>
      <c r="R862" s="16">
        <v>0.26879999999999998</v>
      </c>
      <c r="S862" s="16">
        <f t="shared" si="28"/>
        <v>0.26879999999999998</v>
      </c>
      <c r="T862" s="18">
        <v>1</v>
      </c>
      <c r="U862" s="1">
        <v>21.739130429999999</v>
      </c>
      <c r="V862" s="1">
        <f t="shared" si="27"/>
        <v>3.124087247925448</v>
      </c>
      <c r="W862" s="25"/>
      <c r="X862">
        <v>4.9399999999999999E-2</v>
      </c>
      <c r="Y862" s="1">
        <v>4.3099999999999999E-2</v>
      </c>
      <c r="Z862" s="1">
        <v>4.2200000000000001E-2</v>
      </c>
      <c r="AA862" s="1">
        <v>7482</v>
      </c>
      <c r="AB862" s="1">
        <v>46</v>
      </c>
      <c r="AC862" s="29">
        <v>1405</v>
      </c>
    </row>
    <row r="863" spans="1:29" ht="25.5">
      <c r="A863" s="12">
        <v>68</v>
      </c>
      <c r="B863" s="12" t="s">
        <v>872</v>
      </c>
      <c r="C863" s="12">
        <v>68167</v>
      </c>
      <c r="D863" s="12" t="s">
        <v>883</v>
      </c>
      <c r="E863" s="17">
        <v>0.83472962680883478</v>
      </c>
      <c r="F863" s="17">
        <v>0.16527037319116528</v>
      </c>
      <c r="G863" s="13">
        <v>0.92118802619270346</v>
      </c>
      <c r="H863" s="13">
        <v>5.0481064483111568</v>
      </c>
      <c r="I863" s="14">
        <v>9.3773790719056205</v>
      </c>
      <c r="J863" s="16">
        <v>0.95009999999999994</v>
      </c>
      <c r="K863" s="16">
        <v>0.94969999999999999</v>
      </c>
      <c r="L863" s="13">
        <v>0.64129999999999998</v>
      </c>
      <c r="M863" s="13">
        <v>2.41E-2</v>
      </c>
      <c r="N863" s="13">
        <v>6.7799999999999999E-2</v>
      </c>
      <c r="O863" s="13">
        <v>3.8899999999999997E-2</v>
      </c>
      <c r="P863" s="16">
        <v>0.9173</v>
      </c>
      <c r="Q863" s="16">
        <v>0.63070000000000004</v>
      </c>
      <c r="R863" s="16">
        <v>0.63009999999999999</v>
      </c>
      <c r="S863" s="16">
        <f t="shared" si="28"/>
        <v>0.72603333333333342</v>
      </c>
      <c r="T863" s="18">
        <v>1</v>
      </c>
      <c r="U863" s="1">
        <v>23.529411759999999</v>
      </c>
      <c r="V863" s="1">
        <f t="shared" si="27"/>
        <v>3.1998728775507388</v>
      </c>
      <c r="W863" s="26"/>
      <c r="X863">
        <v>7.7399999999999997E-2</v>
      </c>
      <c r="Y863" s="1">
        <v>6.7000000000000004E-2</v>
      </c>
      <c r="Z863" s="1">
        <v>6.4799999999999996E-2</v>
      </c>
      <c r="AA863" s="1">
        <v>13688</v>
      </c>
      <c r="AB863" s="1">
        <v>85</v>
      </c>
      <c r="AC863" s="29">
        <v>2426</v>
      </c>
    </row>
    <row r="864" spans="1:29" ht="25.5">
      <c r="A864" s="12">
        <v>68</v>
      </c>
      <c r="B864" s="12" t="s">
        <v>872</v>
      </c>
      <c r="C864" s="12">
        <v>68169</v>
      </c>
      <c r="D864" s="12" t="s">
        <v>884</v>
      </c>
      <c r="E864" s="17">
        <v>0.91094771241830064</v>
      </c>
      <c r="F864" s="17">
        <v>8.9052287581699349E-2</v>
      </c>
      <c r="G864" s="13">
        <v>0.80738786279683372</v>
      </c>
      <c r="H864" s="13">
        <v>10.182648401826484</v>
      </c>
      <c r="I864" s="14">
        <v>7.8034350569521678</v>
      </c>
      <c r="J864" s="16">
        <v>0.91959999999999997</v>
      </c>
      <c r="K864" s="16">
        <v>0.91959999999999997</v>
      </c>
      <c r="L864" s="13">
        <v>0.4667</v>
      </c>
      <c r="M864" s="13">
        <v>3.7900000000000003E-2</v>
      </c>
      <c r="N864" s="13">
        <v>8.0199999999999994E-2</v>
      </c>
      <c r="O864" s="13">
        <v>3.7900000000000003E-2</v>
      </c>
      <c r="P864" s="16">
        <v>0.19969999999999999</v>
      </c>
      <c r="Q864" s="16">
        <v>0.19969999999999999</v>
      </c>
      <c r="R864" s="16">
        <v>0.19969999999999999</v>
      </c>
      <c r="S864" s="16">
        <f t="shared" si="28"/>
        <v>0.19969999999999999</v>
      </c>
      <c r="T864" s="18">
        <v>0.742088607594936</v>
      </c>
      <c r="U864" s="1">
        <v>0</v>
      </c>
      <c r="V864" s="1">
        <f t="shared" si="27"/>
        <v>0</v>
      </c>
      <c r="W864" s="25"/>
      <c r="X864">
        <v>2.0400000000000001E-2</v>
      </c>
      <c r="Y864" s="1">
        <v>9.4700000000000006E-2</v>
      </c>
      <c r="Z864" s="1">
        <v>9.0499999999999997E-2</v>
      </c>
      <c r="AA864" s="1">
        <v>3252</v>
      </c>
      <c r="AB864" s="1">
        <v>9</v>
      </c>
      <c r="AC864" s="29">
        <v>502</v>
      </c>
    </row>
    <row r="865" spans="1:29" ht="25.5">
      <c r="A865" s="12">
        <v>68</v>
      </c>
      <c r="B865" s="12" t="s">
        <v>872</v>
      </c>
      <c r="C865" s="12">
        <v>68176</v>
      </c>
      <c r="D865" s="12" t="s">
        <v>494</v>
      </c>
      <c r="E865" s="17">
        <v>0.88025525525525528</v>
      </c>
      <c r="F865" s="17">
        <v>0.11974474474474474</v>
      </c>
      <c r="G865" s="13">
        <v>0.88652246256239597</v>
      </c>
      <c r="H865" s="13">
        <v>7.328125</v>
      </c>
      <c r="I865" s="14">
        <v>7.8879593365999447</v>
      </c>
      <c r="J865" s="16">
        <v>0.75180000000000002</v>
      </c>
      <c r="K865" s="16">
        <v>0.75180000000000002</v>
      </c>
      <c r="L865" s="13">
        <v>0.43819999999999998</v>
      </c>
      <c r="M865" s="13">
        <v>1.18E-2</v>
      </c>
      <c r="N865" s="13">
        <v>4.7100000000000003E-2</v>
      </c>
      <c r="O865" s="13">
        <v>2.5899999999999999E-2</v>
      </c>
      <c r="P865" s="16">
        <v>0.71760000000000002</v>
      </c>
      <c r="Q865" s="16">
        <v>0.40189999999999998</v>
      </c>
      <c r="R865" s="16">
        <v>0.40189999999999998</v>
      </c>
      <c r="S865" s="16">
        <f t="shared" si="28"/>
        <v>0.50713333333333332</v>
      </c>
      <c r="T865" s="18">
        <v>0.78662150719728996</v>
      </c>
      <c r="U865" s="1">
        <v>0</v>
      </c>
      <c r="V865" s="1">
        <f t="shared" si="27"/>
        <v>0</v>
      </c>
      <c r="W865" s="26"/>
      <c r="X865">
        <v>2.6200000000000001E-2</v>
      </c>
      <c r="Y865" s="1">
        <v>3.15E-2</v>
      </c>
      <c r="Z865" s="1">
        <v>3.1E-2</v>
      </c>
      <c r="AA865" s="1">
        <v>3243</v>
      </c>
      <c r="AB865" s="1">
        <v>24</v>
      </c>
      <c r="AC865" s="29">
        <v>592</v>
      </c>
    </row>
    <row r="866" spans="1:29" ht="25.5">
      <c r="A866" s="12">
        <v>68</v>
      </c>
      <c r="B866" s="12" t="s">
        <v>872</v>
      </c>
      <c r="C866" s="12">
        <v>68179</v>
      </c>
      <c r="D866" s="12" t="s">
        <v>885</v>
      </c>
      <c r="E866" s="17">
        <v>0.91385767790262173</v>
      </c>
      <c r="F866" s="17">
        <v>8.6142322097378279E-2</v>
      </c>
      <c r="G866" s="13">
        <v>0.7470621152770005</v>
      </c>
      <c r="H866" s="13">
        <v>10.578034682080926</v>
      </c>
      <c r="I866" s="14">
        <v>8.2955485162257627</v>
      </c>
      <c r="J866" s="16">
        <v>0.5776</v>
      </c>
      <c r="K866" s="16">
        <v>0.5776</v>
      </c>
      <c r="L866" s="13">
        <v>0.375</v>
      </c>
      <c r="M866" s="13">
        <v>4.0000000000000001E-3</v>
      </c>
      <c r="N866" s="13">
        <v>3.1899999999999998E-2</v>
      </c>
      <c r="O866" s="13">
        <v>0.01</v>
      </c>
      <c r="P866" s="16">
        <v>0.99829999999999997</v>
      </c>
      <c r="Q866" s="16">
        <v>0.18289999999999998</v>
      </c>
      <c r="R866" s="16">
        <v>0.21859999999999999</v>
      </c>
      <c r="S866" s="16">
        <f t="shared" si="28"/>
        <v>0.46659999999999996</v>
      </c>
      <c r="T866" s="18">
        <v>0.82352941176470495</v>
      </c>
      <c r="U866" s="1">
        <v>0</v>
      </c>
      <c r="V866" s="1">
        <f t="shared" si="27"/>
        <v>0</v>
      </c>
      <c r="W866" s="25"/>
      <c r="X866">
        <v>2.64E-2</v>
      </c>
      <c r="Y866" s="1">
        <v>9.5200000000000007E-2</v>
      </c>
      <c r="Z866" s="1">
        <v>9.0899999999999995E-2</v>
      </c>
      <c r="AA866" s="1">
        <v>5247</v>
      </c>
      <c r="AB866" s="1">
        <v>26</v>
      </c>
      <c r="AC866" s="29">
        <v>816</v>
      </c>
    </row>
    <row r="867" spans="1:29" ht="25.5">
      <c r="A867" s="12">
        <v>68</v>
      </c>
      <c r="B867" s="12" t="s">
        <v>872</v>
      </c>
      <c r="C867" s="12">
        <v>68190</v>
      </c>
      <c r="D867" s="12" t="s">
        <v>886</v>
      </c>
      <c r="E867" s="17">
        <v>0.82305980115744171</v>
      </c>
      <c r="F867" s="17">
        <v>0.17694019884255824</v>
      </c>
      <c r="G867" s="13">
        <v>0.94259658153131731</v>
      </c>
      <c r="H867" s="13">
        <v>4.650846889149757</v>
      </c>
      <c r="I867" s="14">
        <v>10.425134414933702</v>
      </c>
      <c r="J867" s="16">
        <v>0.82310000000000005</v>
      </c>
      <c r="K867" s="16">
        <v>0.82289999999999996</v>
      </c>
      <c r="L867" s="13">
        <v>0.46310000000000001</v>
      </c>
      <c r="M867" s="13">
        <v>4.1300000000000003E-2</v>
      </c>
      <c r="N867" s="13">
        <v>7.6899999999999996E-2</v>
      </c>
      <c r="O867" s="13">
        <v>4.2500000000000003E-2</v>
      </c>
      <c r="P867" s="16">
        <v>0.6653</v>
      </c>
      <c r="Q867" s="16">
        <v>0.65410000000000001</v>
      </c>
      <c r="R867" s="16">
        <v>0.53249999999999997</v>
      </c>
      <c r="S867" s="16">
        <f t="shared" si="28"/>
        <v>0.61729999999999996</v>
      </c>
      <c r="T867" s="18">
        <v>0.87533808704204508</v>
      </c>
      <c r="U867" s="1">
        <v>4.1493775929999996</v>
      </c>
      <c r="V867" s="1">
        <f t="shared" si="27"/>
        <v>1.6388758516438473</v>
      </c>
      <c r="W867" s="26"/>
      <c r="X867">
        <v>0.1472</v>
      </c>
      <c r="Y867" s="1">
        <v>4.5600000000000002E-2</v>
      </c>
      <c r="Z867" s="1">
        <v>4.4600000000000001E-2</v>
      </c>
      <c r="AA867" s="1">
        <v>33782</v>
      </c>
      <c r="AB867" s="1">
        <v>241</v>
      </c>
      <c r="AC867" s="29">
        <v>6922</v>
      </c>
    </row>
    <row r="868" spans="1:29" ht="25.5">
      <c r="A868" s="12">
        <v>68</v>
      </c>
      <c r="B868" s="12" t="s">
        <v>872</v>
      </c>
      <c r="C868" s="12">
        <v>68207</v>
      </c>
      <c r="D868" s="12" t="s">
        <v>50</v>
      </c>
      <c r="E868" s="17">
        <v>0.91230283911671928</v>
      </c>
      <c r="F868" s="17">
        <v>8.769716088328075E-2</v>
      </c>
      <c r="G868" s="13">
        <v>1</v>
      </c>
      <c r="H868" s="13">
        <v>10.384201077199283</v>
      </c>
      <c r="I868" s="14">
        <v>8.7547917637000321</v>
      </c>
      <c r="J868" s="16">
        <v>0.80069999999999997</v>
      </c>
      <c r="K868" s="16">
        <v>0.80069999999999997</v>
      </c>
      <c r="L868" s="13">
        <v>0.35</v>
      </c>
      <c r="M868" s="13">
        <v>2.4199999999999999E-2</v>
      </c>
      <c r="N868" s="13">
        <v>7.8100000000000003E-2</v>
      </c>
      <c r="O868" s="13">
        <v>9.2399999999999996E-2</v>
      </c>
      <c r="P868" s="16">
        <v>0.34860000000000002</v>
      </c>
      <c r="Q868" s="16">
        <v>0.23250000000000001</v>
      </c>
      <c r="R868" s="16">
        <v>0.23829999999999998</v>
      </c>
      <c r="S868" s="16">
        <f t="shared" si="28"/>
        <v>0.27313333333333334</v>
      </c>
      <c r="T868" s="18">
        <v>0.84398625429553209</v>
      </c>
      <c r="U868" s="1">
        <v>0</v>
      </c>
      <c r="V868" s="1">
        <f t="shared" si="27"/>
        <v>0</v>
      </c>
      <c r="W868" s="25"/>
      <c r="X868">
        <v>2.3199999999999998E-2</v>
      </c>
      <c r="Y868" s="1">
        <v>5.2999999999999999E-2</v>
      </c>
      <c r="Z868" s="1">
        <v>5.1700000000000003E-2</v>
      </c>
      <c r="AA868" s="1">
        <v>6125</v>
      </c>
      <c r="AB868" s="1">
        <v>32</v>
      </c>
      <c r="AC868" s="29">
        <v>1119</v>
      </c>
    </row>
    <row r="869" spans="1:29" ht="25.5">
      <c r="A869" s="12">
        <v>68</v>
      </c>
      <c r="B869" s="12" t="s">
        <v>872</v>
      </c>
      <c r="C869" s="12">
        <v>68209</v>
      </c>
      <c r="D869" s="12" t="s">
        <v>887</v>
      </c>
      <c r="E869" s="17">
        <v>0.9134936539746159</v>
      </c>
      <c r="F869" s="17">
        <v>8.6506346025384095E-2</v>
      </c>
      <c r="G869" s="13">
        <v>0.91447770311545507</v>
      </c>
      <c r="H869" s="13">
        <v>10.51923076923077</v>
      </c>
      <c r="I869" s="14">
        <v>8.0046995105495498</v>
      </c>
      <c r="J869" s="16">
        <v>0.86019999999999996</v>
      </c>
      <c r="K869" s="16">
        <v>0.86019999999999996</v>
      </c>
      <c r="L869" s="13">
        <v>0.58430000000000004</v>
      </c>
      <c r="M869" s="13">
        <v>2.2100000000000002E-2</v>
      </c>
      <c r="N869" s="13">
        <v>1.84E-2</v>
      </c>
      <c r="O869" s="13">
        <v>4.5999999999999999E-2</v>
      </c>
      <c r="P869" s="16">
        <v>0.64260000000000006</v>
      </c>
      <c r="Q869" s="16">
        <v>0.29960000000000003</v>
      </c>
      <c r="R869" s="16">
        <v>0.29960000000000003</v>
      </c>
      <c r="S869" s="16">
        <f t="shared" si="28"/>
        <v>0.41393333333333343</v>
      </c>
      <c r="T869" s="18">
        <v>1</v>
      </c>
      <c r="U869" s="1">
        <v>0</v>
      </c>
      <c r="V869" s="1">
        <f t="shared" si="27"/>
        <v>0</v>
      </c>
      <c r="W869" s="26"/>
      <c r="X869">
        <v>3.78E-2</v>
      </c>
      <c r="Y869" s="1">
        <v>4.87E-2</v>
      </c>
      <c r="Z869" s="1">
        <v>4.7600000000000003E-2</v>
      </c>
      <c r="AA869" s="1">
        <v>3613</v>
      </c>
      <c r="AB869" s="1">
        <v>23</v>
      </c>
      <c r="AC869" s="29">
        <v>676</v>
      </c>
    </row>
    <row r="870" spans="1:29" ht="25.5">
      <c r="A870" s="12">
        <v>68</v>
      </c>
      <c r="B870" s="12" t="s">
        <v>872</v>
      </c>
      <c r="C870" s="12">
        <v>68211</v>
      </c>
      <c r="D870" s="12" t="s">
        <v>888</v>
      </c>
      <c r="E870" s="17">
        <v>0.81030020703933747</v>
      </c>
      <c r="F870" s="17">
        <v>0.18969979296066253</v>
      </c>
      <c r="G870" s="13">
        <v>1.0015552099533438</v>
      </c>
      <c r="H870" s="13">
        <v>4.2656675749318804</v>
      </c>
      <c r="I870" s="14">
        <v>8.2597169610215229</v>
      </c>
      <c r="J870" s="16">
        <v>0.86509999999999998</v>
      </c>
      <c r="K870" s="16">
        <v>0.86509999999999998</v>
      </c>
      <c r="L870" s="13">
        <v>0.61539999999999995</v>
      </c>
      <c r="M870" s="13">
        <v>1.8E-3</v>
      </c>
      <c r="N870" s="13">
        <v>8.2699999999999996E-2</v>
      </c>
      <c r="O870" s="13">
        <v>0.1007</v>
      </c>
      <c r="P870" s="16">
        <v>0.44040000000000001</v>
      </c>
      <c r="Q870" s="16">
        <v>0.44040000000000001</v>
      </c>
      <c r="R870" s="16">
        <v>0.44040000000000001</v>
      </c>
      <c r="S870" s="16">
        <f t="shared" si="28"/>
        <v>0.44040000000000007</v>
      </c>
      <c r="T870" s="18">
        <v>0.72571428571428498</v>
      </c>
      <c r="U870" s="1">
        <v>0</v>
      </c>
      <c r="V870" s="1">
        <f t="shared" si="27"/>
        <v>0</v>
      </c>
      <c r="W870" s="25"/>
      <c r="X870">
        <v>0.05</v>
      </c>
      <c r="Y870" s="1">
        <v>8.1199999999999994E-2</v>
      </c>
      <c r="Z870" s="1">
        <v>7.8100000000000003E-2</v>
      </c>
      <c r="AA870" s="1">
        <v>4144</v>
      </c>
      <c r="AB870" s="1">
        <v>21</v>
      </c>
      <c r="AC870" s="29">
        <v>645</v>
      </c>
    </row>
    <row r="871" spans="1:29" ht="25.5">
      <c r="A871" s="12">
        <v>68</v>
      </c>
      <c r="B871" s="12" t="s">
        <v>872</v>
      </c>
      <c r="C871" s="12">
        <v>68217</v>
      </c>
      <c r="D871" s="12" t="s">
        <v>889</v>
      </c>
      <c r="E871" s="17">
        <v>0.93116197183098592</v>
      </c>
      <c r="F871" s="17">
        <v>6.883802816901409E-2</v>
      </c>
      <c r="G871" s="13">
        <v>1</v>
      </c>
      <c r="H871" s="13">
        <v>13.49234693877551</v>
      </c>
      <c r="I871" s="14">
        <v>8.6448825525571262</v>
      </c>
      <c r="J871" s="16">
        <v>0.85040000000000004</v>
      </c>
      <c r="K871" s="16">
        <v>0.85040000000000004</v>
      </c>
      <c r="L871" s="13">
        <v>0.44869999999999999</v>
      </c>
      <c r="M871" s="13">
        <v>1.7100000000000001E-2</v>
      </c>
      <c r="N871" s="13">
        <v>5.1299999999999998E-2</v>
      </c>
      <c r="O871" s="13">
        <v>2.1700000000000001E-2</v>
      </c>
      <c r="P871" s="16">
        <v>0.89629999999999999</v>
      </c>
      <c r="Q871" s="16">
        <v>0.89629999999999999</v>
      </c>
      <c r="R871" s="16">
        <v>0.8589</v>
      </c>
      <c r="S871" s="16">
        <f t="shared" si="28"/>
        <v>0.88383333333333336</v>
      </c>
      <c r="T871" s="18">
        <v>0.91573426573426497</v>
      </c>
      <c r="U871" s="1">
        <v>0</v>
      </c>
      <c r="V871" s="1">
        <f t="shared" si="27"/>
        <v>0</v>
      </c>
      <c r="W871" s="26"/>
      <c r="X871">
        <v>3.27E-2</v>
      </c>
      <c r="Y871" s="1">
        <v>8.8000000000000005E-3</v>
      </c>
      <c r="Z871" s="1">
        <v>8.8000000000000005E-3</v>
      </c>
      <c r="AA871" s="1">
        <v>5662</v>
      </c>
      <c r="AB871" s="1">
        <v>39</v>
      </c>
      <c r="AC871" s="29">
        <v>1073</v>
      </c>
    </row>
    <row r="872" spans="1:29" ht="25.5">
      <c r="A872" s="12">
        <v>68</v>
      </c>
      <c r="B872" s="12" t="s">
        <v>872</v>
      </c>
      <c r="C872" s="12">
        <v>68229</v>
      </c>
      <c r="D872" s="12" t="s">
        <v>890</v>
      </c>
      <c r="E872" s="17">
        <v>0.84910224206902962</v>
      </c>
      <c r="F872" s="17">
        <v>0.15089775793097032</v>
      </c>
      <c r="G872" s="13">
        <v>0.8066186402521387</v>
      </c>
      <c r="H872" s="13">
        <v>5.6235366605052368</v>
      </c>
      <c r="I872" s="14">
        <v>9.2826610335558097</v>
      </c>
      <c r="J872" s="16">
        <v>0.80010000000000003</v>
      </c>
      <c r="K872" s="16">
        <v>0.80010000000000003</v>
      </c>
      <c r="L872" s="13">
        <v>0.53549999999999998</v>
      </c>
      <c r="M872" s="13">
        <v>3.3099999999999997E-2</v>
      </c>
      <c r="N872" s="13">
        <v>4.3299999999999998E-2</v>
      </c>
      <c r="O872" s="13">
        <v>4.7800000000000002E-2</v>
      </c>
      <c r="P872" s="16">
        <v>0.95489999999999997</v>
      </c>
      <c r="Q872" s="16">
        <v>0.44020000000000004</v>
      </c>
      <c r="R872" s="16">
        <v>0.41820000000000002</v>
      </c>
      <c r="S872" s="16">
        <f t="shared" si="28"/>
        <v>0.60443333333333327</v>
      </c>
      <c r="T872" s="18">
        <v>1</v>
      </c>
      <c r="U872" s="1">
        <v>0</v>
      </c>
      <c r="V872" s="1">
        <f t="shared" si="27"/>
        <v>0</v>
      </c>
      <c r="W872" s="25"/>
      <c r="X872">
        <v>3.9E-2</v>
      </c>
      <c r="Y872" s="1">
        <v>0.21060000000000001</v>
      </c>
      <c r="Z872" s="1">
        <v>0.19109999999999999</v>
      </c>
      <c r="AA872" s="1">
        <v>14441</v>
      </c>
      <c r="AB872" s="1">
        <v>98</v>
      </c>
      <c r="AC872" s="29">
        <v>2610</v>
      </c>
    </row>
    <row r="873" spans="1:29" ht="25.5">
      <c r="A873" s="12">
        <v>68</v>
      </c>
      <c r="B873" s="12" t="s">
        <v>872</v>
      </c>
      <c r="C873" s="12">
        <v>68235</v>
      </c>
      <c r="D873" s="12" t="s">
        <v>473</v>
      </c>
      <c r="E873" s="17">
        <v>0.91680124022995935</v>
      </c>
      <c r="F873" s="17">
        <v>8.3198759770040695E-2</v>
      </c>
      <c r="G873" s="13">
        <v>0.68512126040007082</v>
      </c>
      <c r="H873" s="13">
        <v>11.010861132660978</v>
      </c>
      <c r="I873" s="14">
        <v>9.6474333377646584</v>
      </c>
      <c r="J873" s="16">
        <v>0.62170000000000003</v>
      </c>
      <c r="K873" s="16">
        <v>0.62170000000000003</v>
      </c>
      <c r="L873" s="13">
        <v>0.28570000000000001</v>
      </c>
      <c r="M873" s="13">
        <v>4.0599999999999997E-2</v>
      </c>
      <c r="N873" s="13">
        <v>6.7900000000000002E-2</v>
      </c>
      <c r="O873" s="13">
        <v>2.4E-2</v>
      </c>
      <c r="P873" s="16">
        <v>0.38270000000000004</v>
      </c>
      <c r="Q873" s="16">
        <v>0.20440000000000003</v>
      </c>
      <c r="R873" s="16">
        <v>0.20440000000000003</v>
      </c>
      <c r="S873" s="16">
        <f t="shared" si="28"/>
        <v>0.26383333333333336</v>
      </c>
      <c r="T873" s="18">
        <v>0.75010758858126492</v>
      </c>
      <c r="U873" s="1">
        <v>0</v>
      </c>
      <c r="V873" s="1">
        <f t="shared" si="27"/>
        <v>0</v>
      </c>
      <c r="W873" s="26"/>
      <c r="X873">
        <v>2.7E-2</v>
      </c>
      <c r="Y873" s="1">
        <v>1.5100000000000001E-2</v>
      </c>
      <c r="Z873" s="1">
        <v>1.4999999999999999E-2</v>
      </c>
      <c r="AA873" s="1">
        <v>24214</v>
      </c>
      <c r="AB873" s="1">
        <v>101</v>
      </c>
      <c r="AC873" s="29">
        <v>5065</v>
      </c>
    </row>
    <row r="874" spans="1:29" ht="25.5">
      <c r="A874" s="12">
        <v>68</v>
      </c>
      <c r="B874" s="12" t="s">
        <v>872</v>
      </c>
      <c r="C874" s="12">
        <v>68245</v>
      </c>
      <c r="D874" s="12" t="s">
        <v>891</v>
      </c>
      <c r="E874" s="17">
        <v>0.92547945205479454</v>
      </c>
      <c r="F874" s="17">
        <v>7.4520547945205476E-2</v>
      </c>
      <c r="G874" s="13">
        <v>0.7962478184991274</v>
      </c>
      <c r="H874" s="13">
        <v>12.328467153284672</v>
      </c>
      <c r="I874" s="14">
        <v>7.5098830611549134</v>
      </c>
      <c r="J874" s="16">
        <v>0.61699999999999999</v>
      </c>
      <c r="K874" s="16">
        <v>0.61699999999999999</v>
      </c>
      <c r="L874" s="13">
        <v>0.34720000000000001</v>
      </c>
      <c r="M874" s="13">
        <v>1.0800000000000001E-2</v>
      </c>
      <c r="N874" s="13">
        <v>1.44E-2</v>
      </c>
      <c r="O874" s="13">
        <v>4.3299999999999998E-2</v>
      </c>
      <c r="P874" s="16">
        <v>0.48969999999999997</v>
      </c>
      <c r="Q874" s="16">
        <v>0.60030000000000006</v>
      </c>
      <c r="R874" s="16">
        <v>0.12300000000000001</v>
      </c>
      <c r="S874" s="16">
        <f t="shared" si="28"/>
        <v>0.40433333333333338</v>
      </c>
      <c r="T874" s="18">
        <v>0.85344827586206806</v>
      </c>
      <c r="U874" s="1">
        <v>0</v>
      </c>
      <c r="V874" s="1">
        <f t="shared" si="27"/>
        <v>0</v>
      </c>
      <c r="W874" s="25"/>
      <c r="X874">
        <v>2.53E-2</v>
      </c>
      <c r="Y874" s="1">
        <v>6.1699999999999998E-2</v>
      </c>
      <c r="Z874" s="1">
        <v>5.9900000000000002E-2</v>
      </c>
      <c r="AA874" s="1">
        <v>2201</v>
      </c>
      <c r="AB874" s="1">
        <v>13</v>
      </c>
      <c r="AC874" s="29">
        <v>390</v>
      </c>
    </row>
    <row r="875" spans="1:29" ht="25.5">
      <c r="A875" s="12">
        <v>68</v>
      </c>
      <c r="B875" s="12" t="s">
        <v>872</v>
      </c>
      <c r="C875" s="12">
        <v>68250</v>
      </c>
      <c r="D875" s="12" t="s">
        <v>184</v>
      </c>
      <c r="E875" s="17">
        <v>0.93394285714285719</v>
      </c>
      <c r="F875" s="17">
        <v>6.6057142857142856E-2</v>
      </c>
      <c r="G875" s="13">
        <v>0.81018518518518523</v>
      </c>
      <c r="H875" s="13">
        <v>14.089655172413794</v>
      </c>
      <c r="I875" s="14">
        <v>8.3838903441018164</v>
      </c>
      <c r="J875" s="16">
        <v>0.58730000000000004</v>
      </c>
      <c r="K875" s="16">
        <v>0.58730000000000004</v>
      </c>
      <c r="L875" s="13">
        <v>0.34289999999999998</v>
      </c>
      <c r="M875" s="13">
        <v>2.8400000000000002E-2</v>
      </c>
      <c r="N875" s="13">
        <v>7.0900000000000005E-2</v>
      </c>
      <c r="O875" s="13">
        <v>5.0299999999999997E-2</v>
      </c>
      <c r="P875" s="16">
        <v>6.6799999999999998E-2</v>
      </c>
      <c r="Q875" s="16">
        <v>6.6799999999999998E-2</v>
      </c>
      <c r="R875" s="16">
        <v>6.6799999999999998E-2</v>
      </c>
      <c r="S875" s="16">
        <f t="shared" si="28"/>
        <v>6.6799999999999998E-2</v>
      </c>
      <c r="T875" s="18">
        <v>0.68189233278955896</v>
      </c>
      <c r="U875" s="1">
        <v>0</v>
      </c>
      <c r="V875" s="1">
        <f t="shared" si="27"/>
        <v>0</v>
      </c>
      <c r="W875" s="26"/>
      <c r="X875">
        <v>2.5100000000000001E-2</v>
      </c>
      <c r="Y875" s="1">
        <v>1.1599999999999999E-2</v>
      </c>
      <c r="Z875" s="1">
        <v>1.15E-2</v>
      </c>
      <c r="AA875" s="1">
        <v>5351</v>
      </c>
      <c r="AB875" s="1">
        <v>37</v>
      </c>
      <c r="AC875" s="29">
        <v>1220</v>
      </c>
    </row>
    <row r="876" spans="1:29" ht="25.5">
      <c r="A876" s="12">
        <v>68</v>
      </c>
      <c r="B876" s="12" t="s">
        <v>872</v>
      </c>
      <c r="C876" s="12">
        <v>68255</v>
      </c>
      <c r="D876" s="12" t="s">
        <v>892</v>
      </c>
      <c r="E876" s="17">
        <v>0.81077241022991475</v>
      </c>
      <c r="F876" s="17">
        <v>0.18922758977008525</v>
      </c>
      <c r="G876" s="13">
        <v>1</v>
      </c>
      <c r="H876" s="13">
        <v>4.2831798021153187</v>
      </c>
      <c r="I876" s="14">
        <v>9.6476270924073031</v>
      </c>
      <c r="J876" s="16">
        <v>0.85140000000000005</v>
      </c>
      <c r="K876" s="16">
        <v>0.85140000000000005</v>
      </c>
      <c r="L876" s="13">
        <v>0.46150000000000002</v>
      </c>
      <c r="M876" s="13">
        <v>3.1800000000000002E-2</v>
      </c>
      <c r="N876" s="13">
        <v>7.4700000000000003E-2</v>
      </c>
      <c r="O876" s="13">
        <v>6.6600000000000006E-2</v>
      </c>
      <c r="P876" s="16">
        <v>0.97739999999999994</v>
      </c>
      <c r="Q876" s="16">
        <v>0.46920000000000001</v>
      </c>
      <c r="R876" s="16">
        <v>0.35950000000000004</v>
      </c>
      <c r="S876" s="16">
        <f t="shared" si="28"/>
        <v>0.60203333333333331</v>
      </c>
      <c r="T876" s="18">
        <v>0.881939799331103</v>
      </c>
      <c r="U876" s="1">
        <v>17.241379309999999</v>
      </c>
      <c r="V876" s="1">
        <f t="shared" si="27"/>
        <v>2.9036926018529217</v>
      </c>
      <c r="W876" s="25"/>
      <c r="X876">
        <v>2.69E-2</v>
      </c>
      <c r="Y876" s="1">
        <v>3.7499999999999999E-2</v>
      </c>
      <c r="Z876" s="1">
        <v>3.6799999999999999E-2</v>
      </c>
      <c r="AA876" s="1">
        <v>15124</v>
      </c>
      <c r="AB876" s="1">
        <v>116</v>
      </c>
      <c r="AC876" s="29">
        <v>3138</v>
      </c>
    </row>
    <row r="877" spans="1:29" ht="25.5">
      <c r="A877" s="12">
        <v>68</v>
      </c>
      <c r="B877" s="12" t="s">
        <v>872</v>
      </c>
      <c r="C877" s="12">
        <v>68264</v>
      </c>
      <c r="D877" s="12" t="s">
        <v>893</v>
      </c>
      <c r="E877" s="17">
        <v>0.91148531951640754</v>
      </c>
      <c r="F877" s="17">
        <v>8.8514680483592401E-2</v>
      </c>
      <c r="G877" s="13">
        <v>0.84618195104128613</v>
      </c>
      <c r="H877" s="13">
        <v>10.24757281553398</v>
      </c>
      <c r="I877" s="14">
        <v>7.7480285244323763</v>
      </c>
      <c r="J877" s="16">
        <v>0.54279999999999995</v>
      </c>
      <c r="K877" s="16">
        <v>0.54279999999999995</v>
      </c>
      <c r="L877" s="13">
        <v>0.22470000000000001</v>
      </c>
      <c r="M877" s="13">
        <v>1.5299999999999999E-2</v>
      </c>
      <c r="N877" s="13">
        <v>3.6799999999999999E-2</v>
      </c>
      <c r="O877" s="13">
        <v>3.6799999999999999E-2</v>
      </c>
      <c r="P877" s="16">
        <v>0.83499999999999996</v>
      </c>
      <c r="Q877" s="16">
        <v>0.22329999999999997</v>
      </c>
      <c r="R877" s="16">
        <v>0.22329999999999997</v>
      </c>
      <c r="S877" s="16">
        <f t="shared" si="28"/>
        <v>0.42720000000000002</v>
      </c>
      <c r="T877" s="18">
        <v>0.70150575730735099</v>
      </c>
      <c r="U877" s="1">
        <v>0</v>
      </c>
      <c r="V877" s="1">
        <f t="shared" si="27"/>
        <v>0</v>
      </c>
      <c r="W877" s="26"/>
      <c r="X877">
        <v>1.14E-2</v>
      </c>
      <c r="Y877" s="1">
        <v>9.9000000000000008E-3</v>
      </c>
      <c r="Z877" s="1">
        <v>9.9000000000000008E-3</v>
      </c>
      <c r="AA877" s="1">
        <v>2898</v>
      </c>
      <c r="AB877" s="1">
        <v>13</v>
      </c>
      <c r="AC877" s="29">
        <v>594</v>
      </c>
    </row>
    <row r="878" spans="1:29" ht="25.5">
      <c r="A878" s="12">
        <v>68</v>
      </c>
      <c r="B878" s="12" t="s">
        <v>872</v>
      </c>
      <c r="C878" s="12">
        <v>68266</v>
      </c>
      <c r="D878" s="12" t="s">
        <v>894</v>
      </c>
      <c r="E878" s="17">
        <v>0.88504753673293002</v>
      </c>
      <c r="F878" s="17">
        <v>0.11495246326707001</v>
      </c>
      <c r="G878" s="13">
        <v>0.94913863822805578</v>
      </c>
      <c r="H878" s="13">
        <v>7.68</v>
      </c>
      <c r="I878" s="14">
        <v>8.1524860757802404</v>
      </c>
      <c r="J878" s="16">
        <v>0.90939999999999999</v>
      </c>
      <c r="K878" s="16">
        <v>0.90939999999999999</v>
      </c>
      <c r="L878" s="13">
        <v>0.69440000000000002</v>
      </c>
      <c r="M878" s="13">
        <v>1.54E-2</v>
      </c>
      <c r="N878" s="13">
        <v>4.7899999999999998E-2</v>
      </c>
      <c r="O878" s="13">
        <v>3.2500000000000001E-2</v>
      </c>
      <c r="P878" s="16">
        <v>0.19550000000000001</v>
      </c>
      <c r="Q878" s="16">
        <v>0.19510000000000002</v>
      </c>
      <c r="R878" s="16">
        <v>0.2273</v>
      </c>
      <c r="S878" s="16">
        <f t="shared" si="28"/>
        <v>0.20596666666666671</v>
      </c>
      <c r="T878" s="18">
        <v>0.88736681887366797</v>
      </c>
      <c r="U878" s="1">
        <v>0</v>
      </c>
      <c r="V878" s="1">
        <f t="shared" si="27"/>
        <v>0</v>
      </c>
      <c r="W878" s="25"/>
      <c r="X878">
        <v>2.9600000000000001E-2</v>
      </c>
      <c r="Y878" s="1">
        <v>0.12189999999999999</v>
      </c>
      <c r="Z878" s="1">
        <v>0.115</v>
      </c>
      <c r="AA878" s="1">
        <v>3921</v>
      </c>
      <c r="AB878" s="1">
        <v>19</v>
      </c>
      <c r="AC878" s="29">
        <v>666</v>
      </c>
    </row>
    <row r="879" spans="1:29" ht="25.5">
      <c r="A879" s="12">
        <v>68</v>
      </c>
      <c r="B879" s="12" t="s">
        <v>872</v>
      </c>
      <c r="C879" s="12">
        <v>68271</v>
      </c>
      <c r="D879" s="12" t="s">
        <v>895</v>
      </c>
      <c r="E879" s="17">
        <v>0.91146919431279616</v>
      </c>
      <c r="F879" s="17">
        <v>8.8530805687203798E-2</v>
      </c>
      <c r="G879" s="13">
        <v>0.86702827087442469</v>
      </c>
      <c r="H879" s="13">
        <v>10.273504273504274</v>
      </c>
      <c r="I879" s="14">
        <v>8.5709235138372044</v>
      </c>
      <c r="J879" s="16">
        <v>0.59560000000000002</v>
      </c>
      <c r="K879" s="16">
        <v>0.59560000000000002</v>
      </c>
      <c r="L879" s="13">
        <v>0.3412</v>
      </c>
      <c r="M879" s="13">
        <v>2.3800000000000002E-2</v>
      </c>
      <c r="N879" s="13">
        <v>6.5199999999999994E-2</v>
      </c>
      <c r="O879" s="13">
        <v>4.7699999999999999E-2</v>
      </c>
      <c r="P879" s="16">
        <v>1</v>
      </c>
      <c r="Q879" s="16">
        <v>0.34619999999999995</v>
      </c>
      <c r="R879" s="16">
        <v>0.30559999999999998</v>
      </c>
      <c r="S879" s="16">
        <f t="shared" si="28"/>
        <v>0.55060000000000009</v>
      </c>
      <c r="T879" s="18">
        <v>0.77755982738328699</v>
      </c>
      <c r="U879" s="1">
        <v>0</v>
      </c>
      <c r="V879" s="1">
        <f t="shared" si="27"/>
        <v>0</v>
      </c>
      <c r="W879" s="26"/>
      <c r="X879">
        <v>5.7099999999999998E-2</v>
      </c>
      <c r="Y879" s="1">
        <v>5.8200000000000002E-2</v>
      </c>
      <c r="Z879" s="1">
        <v>5.6599999999999998E-2</v>
      </c>
      <c r="AA879" s="1">
        <v>5703</v>
      </c>
      <c r="AB879" s="1">
        <v>46</v>
      </c>
      <c r="AC879" s="29">
        <v>1138</v>
      </c>
    </row>
    <row r="880" spans="1:29" ht="25.5">
      <c r="A880" s="12">
        <v>68</v>
      </c>
      <c r="B880" s="12" t="s">
        <v>872</v>
      </c>
      <c r="C880" s="12">
        <v>68276</v>
      </c>
      <c r="D880" s="12" t="s">
        <v>896</v>
      </c>
      <c r="E880" s="17">
        <v>0.41895451065824485</v>
      </c>
      <c r="F880" s="17">
        <v>0.58104548934175515</v>
      </c>
      <c r="G880" s="13">
        <v>0.8734601902854281</v>
      </c>
      <c r="H880" s="13">
        <v>0.72103146274789753</v>
      </c>
      <c r="I880" s="14">
        <v>12.599910417397359</v>
      </c>
      <c r="J880" s="16">
        <v>0.82079999999999997</v>
      </c>
      <c r="K880" s="16">
        <v>0.81689999999999996</v>
      </c>
      <c r="L880" s="13">
        <v>0.47539999999999999</v>
      </c>
      <c r="M880" s="13">
        <v>4.82E-2</v>
      </c>
      <c r="N880" s="13">
        <v>8.0500000000000002E-2</v>
      </c>
      <c r="O880" s="13">
        <v>7.8E-2</v>
      </c>
      <c r="P880" s="16">
        <v>0.82689999999999997</v>
      </c>
      <c r="Q880" s="16">
        <v>0.81900000000000006</v>
      </c>
      <c r="R880" s="16">
        <v>0.79900000000000004</v>
      </c>
      <c r="S880" s="16">
        <f t="shared" si="28"/>
        <v>0.81496666666666673</v>
      </c>
      <c r="T880" s="18">
        <v>1</v>
      </c>
      <c r="U880" s="1">
        <v>7.0598006639999999</v>
      </c>
      <c r="V880" s="1">
        <f t="shared" si="27"/>
        <v>2.0868888246990607</v>
      </c>
      <c r="W880" s="25"/>
      <c r="X880">
        <v>0.1799</v>
      </c>
      <c r="Y880" s="1">
        <v>9.7652999999999999</v>
      </c>
      <c r="Z880" s="1">
        <v>2.3763000000000001</v>
      </c>
      <c r="AA880" s="1">
        <v>312530</v>
      </c>
      <c r="AB880" s="1">
        <v>2408</v>
      </c>
      <c r="AC880" s="29">
        <v>52661</v>
      </c>
    </row>
    <row r="881" spans="1:29" ht="25.5">
      <c r="A881" s="12">
        <v>68</v>
      </c>
      <c r="B881" s="12" t="s">
        <v>872</v>
      </c>
      <c r="C881" s="12">
        <v>68296</v>
      </c>
      <c r="D881" s="12" t="s">
        <v>897</v>
      </c>
      <c r="E881" s="17">
        <v>0.88386909933391256</v>
      </c>
      <c r="F881" s="17">
        <v>0.11613090066608746</v>
      </c>
      <c r="G881" s="13">
        <v>1</v>
      </c>
      <c r="H881" s="13">
        <v>7.5920398009950247</v>
      </c>
      <c r="I881" s="14">
        <v>8.1472882587066238</v>
      </c>
      <c r="J881" s="16">
        <v>0.9657</v>
      </c>
      <c r="K881" s="16">
        <v>0.9657</v>
      </c>
      <c r="L881" s="13">
        <v>0.54879999999999995</v>
      </c>
      <c r="M881" s="13">
        <v>1.6899999999999998E-2</v>
      </c>
      <c r="N881" s="13">
        <v>3.3799999999999997E-2</v>
      </c>
      <c r="O881" s="13">
        <v>2.8199999999999999E-2</v>
      </c>
      <c r="P881" s="16">
        <v>0.91020000000000001</v>
      </c>
      <c r="Q881" s="16">
        <v>0.47820000000000001</v>
      </c>
      <c r="R881" s="16">
        <v>0.45450000000000002</v>
      </c>
      <c r="S881" s="16">
        <f t="shared" si="28"/>
        <v>0.61430000000000007</v>
      </c>
      <c r="T881" s="18">
        <v>0.80425155004428606</v>
      </c>
      <c r="U881" s="1">
        <v>0</v>
      </c>
      <c r="V881" s="1">
        <f t="shared" si="27"/>
        <v>0</v>
      </c>
      <c r="W881" s="26"/>
      <c r="X881">
        <v>2.87E-2</v>
      </c>
      <c r="Y881" s="1">
        <v>1.9699999999999999E-2</v>
      </c>
      <c r="Z881" s="1">
        <v>1.95E-2</v>
      </c>
      <c r="AA881" s="1">
        <v>3063</v>
      </c>
      <c r="AB881" s="1">
        <v>25</v>
      </c>
      <c r="AC881" s="29">
        <v>533</v>
      </c>
    </row>
    <row r="882" spans="1:29" ht="25.5">
      <c r="A882" s="12">
        <v>68</v>
      </c>
      <c r="B882" s="12" t="s">
        <v>872</v>
      </c>
      <c r="C882" s="12">
        <v>68298</v>
      </c>
      <c r="D882" s="12" t="s">
        <v>898</v>
      </c>
      <c r="E882" s="17">
        <v>0.93081587651598674</v>
      </c>
      <c r="F882" s="17">
        <v>6.9184123484013232E-2</v>
      </c>
      <c r="G882" s="13">
        <v>0.86012328117591275</v>
      </c>
      <c r="H882" s="13">
        <v>13.40079365079365</v>
      </c>
      <c r="I882" s="14">
        <v>8.1967124072130702</v>
      </c>
      <c r="J882" s="16">
        <v>0.71899999999999997</v>
      </c>
      <c r="K882" s="16">
        <v>0.71899999999999997</v>
      </c>
      <c r="L882" s="13">
        <v>0.35880000000000001</v>
      </c>
      <c r="M882" s="13">
        <v>2.18E-2</v>
      </c>
      <c r="N882" s="13">
        <v>0.1076</v>
      </c>
      <c r="O882" s="13">
        <v>5.62E-2</v>
      </c>
      <c r="P882" s="16">
        <v>7.3700000000000002E-2</v>
      </c>
      <c r="Q882" s="16">
        <v>7.3700000000000002E-2</v>
      </c>
      <c r="R882" s="16">
        <v>7.3700000000000002E-2</v>
      </c>
      <c r="S882" s="16">
        <f t="shared" si="28"/>
        <v>7.3700000000000002E-2</v>
      </c>
      <c r="T882" s="18">
        <v>0.72610048910626901</v>
      </c>
      <c r="U882" s="1">
        <v>120</v>
      </c>
      <c r="V882" s="1">
        <f t="shared" si="27"/>
        <v>4.7957905455967413</v>
      </c>
      <c r="W882" s="25"/>
      <c r="X882">
        <v>2.7300000000000001E-2</v>
      </c>
      <c r="Y882" s="1">
        <v>1.18E-2</v>
      </c>
      <c r="Z882" s="1">
        <v>1.18E-2</v>
      </c>
      <c r="AA882" s="1">
        <v>4110</v>
      </c>
      <c r="AB882" s="1">
        <v>25</v>
      </c>
      <c r="AC882" s="29">
        <v>808</v>
      </c>
    </row>
    <row r="883" spans="1:29" ht="25.5">
      <c r="A883" s="12">
        <v>68</v>
      </c>
      <c r="B883" s="12" t="s">
        <v>872</v>
      </c>
      <c r="C883" s="12">
        <v>68307</v>
      </c>
      <c r="D883" s="12" t="s">
        <v>899</v>
      </c>
      <c r="E883" s="17">
        <v>0.56662167185085199</v>
      </c>
      <c r="F883" s="17">
        <v>0.43336528617354958</v>
      </c>
      <c r="G883" s="13">
        <v>0.87270088777600729</v>
      </c>
      <c r="H883" s="13">
        <v>1.3074723885762436</v>
      </c>
      <c r="I883" s="14">
        <v>11.940491211517996</v>
      </c>
      <c r="J883" s="16">
        <v>0.94969999999999999</v>
      </c>
      <c r="K883" s="16">
        <v>0.94889999999999997</v>
      </c>
      <c r="L883" s="13">
        <v>0.51170000000000004</v>
      </c>
      <c r="M883" s="13">
        <v>4.4299999999999999E-2</v>
      </c>
      <c r="N883" s="13">
        <v>8.3199999999999996E-2</v>
      </c>
      <c r="O883" s="13">
        <v>7.9699999999999993E-2</v>
      </c>
      <c r="P883" s="16">
        <v>0.9998999999999999</v>
      </c>
      <c r="Q883" s="16">
        <v>0.99560000000000004</v>
      </c>
      <c r="R883" s="16">
        <v>0.88580000000000003</v>
      </c>
      <c r="S883" s="16">
        <f t="shared" si="28"/>
        <v>0.96043333333333336</v>
      </c>
      <c r="T883" s="18">
        <v>1</v>
      </c>
      <c r="U883" s="1">
        <v>9.2478421700000002</v>
      </c>
      <c r="V883" s="1">
        <f t="shared" si="27"/>
        <v>2.3270671634219715</v>
      </c>
      <c r="W883" s="26"/>
      <c r="X883">
        <v>0.31979999999999997</v>
      </c>
      <c r="Y883" s="1">
        <v>1.9107000000000001</v>
      </c>
      <c r="Z883" s="1">
        <v>1.0684</v>
      </c>
      <c r="AA883" s="1">
        <v>175000</v>
      </c>
      <c r="AB883" s="1">
        <v>1622</v>
      </c>
      <c r="AC883" s="29">
        <v>32654</v>
      </c>
    </row>
    <row r="884" spans="1:29" ht="25.5">
      <c r="A884" s="12">
        <v>68</v>
      </c>
      <c r="B884" s="12" t="s">
        <v>872</v>
      </c>
      <c r="C884" s="12">
        <v>68318</v>
      </c>
      <c r="D884" s="12" t="s">
        <v>900</v>
      </c>
      <c r="E884" s="17">
        <v>0.9283075889858966</v>
      </c>
      <c r="F884" s="17">
        <v>7.1692411014103424E-2</v>
      </c>
      <c r="G884" s="13">
        <v>0.94584722883912975</v>
      </c>
      <c r="H884" s="13">
        <v>12.91822429906542</v>
      </c>
      <c r="I884" s="14">
        <v>8.692322277628687</v>
      </c>
      <c r="J884" s="16">
        <v>0.77639999999999998</v>
      </c>
      <c r="K884" s="16">
        <v>0.77639999999999998</v>
      </c>
      <c r="L884" s="13">
        <v>0.4</v>
      </c>
      <c r="M884" s="13">
        <v>3.04E-2</v>
      </c>
      <c r="N884" s="13">
        <v>5.6500000000000002E-2</v>
      </c>
      <c r="O884" s="13">
        <v>1.8499999999999999E-2</v>
      </c>
      <c r="P884" s="16">
        <v>0.27460000000000001</v>
      </c>
      <c r="Q884" s="16">
        <v>0.21929999999999999</v>
      </c>
      <c r="R884" s="16">
        <v>0.217</v>
      </c>
      <c r="S884" s="16">
        <f t="shared" si="28"/>
        <v>0.23696666666666666</v>
      </c>
      <c r="T884" s="18">
        <v>0.95920502092050197</v>
      </c>
      <c r="U884" s="1">
        <v>0</v>
      </c>
      <c r="V884" s="1">
        <f t="shared" si="27"/>
        <v>0</v>
      </c>
      <c r="W884" s="25"/>
      <c r="X884">
        <v>1.6199999999999999E-2</v>
      </c>
      <c r="Y884" s="1">
        <v>3.0800000000000001E-2</v>
      </c>
      <c r="Z884" s="1">
        <v>3.0300000000000001E-2</v>
      </c>
      <c r="AA884" s="1">
        <v>6668</v>
      </c>
      <c r="AB884" s="1">
        <v>43</v>
      </c>
      <c r="AC884" s="29">
        <v>1262</v>
      </c>
    </row>
    <row r="885" spans="1:29" ht="25.5">
      <c r="A885" s="12">
        <v>68</v>
      </c>
      <c r="B885" s="12" t="s">
        <v>872</v>
      </c>
      <c r="C885" s="12">
        <v>68320</v>
      </c>
      <c r="D885" s="12" t="s">
        <v>65</v>
      </c>
      <c r="E885" s="17">
        <v>0.8945563651950279</v>
      </c>
      <c r="F885" s="17">
        <v>0.10544363480497214</v>
      </c>
      <c r="G885" s="13">
        <v>0.98025210084033609</v>
      </c>
      <c r="H885" s="13">
        <v>8.4665314401622727</v>
      </c>
      <c r="I885" s="14">
        <v>8.4482717459498158</v>
      </c>
      <c r="J885" s="16">
        <v>0.87470000000000003</v>
      </c>
      <c r="K885" s="16">
        <v>0.87470000000000003</v>
      </c>
      <c r="L885" s="13">
        <v>0.63270000000000004</v>
      </c>
      <c r="M885" s="13">
        <v>1.95E-2</v>
      </c>
      <c r="N885" s="13">
        <v>4.2900000000000001E-2</v>
      </c>
      <c r="O885" s="13">
        <v>4.4200000000000003E-2</v>
      </c>
      <c r="P885" s="16">
        <v>1</v>
      </c>
      <c r="Q885" s="16">
        <v>0.2525</v>
      </c>
      <c r="R885" s="16">
        <v>0.2525</v>
      </c>
      <c r="S885" s="16">
        <f t="shared" si="28"/>
        <v>0.50166666666666659</v>
      </c>
      <c r="T885" s="18">
        <v>0.90466101694915191</v>
      </c>
      <c r="U885" s="1">
        <v>0</v>
      </c>
      <c r="V885" s="1">
        <f t="shared" si="27"/>
        <v>0</v>
      </c>
      <c r="W885" s="26"/>
      <c r="X885">
        <v>2.9399999999999999E-2</v>
      </c>
      <c r="Y885" s="1">
        <v>6.5000000000000002E-2</v>
      </c>
      <c r="Z885" s="1">
        <v>6.2899999999999998E-2</v>
      </c>
      <c r="AA885" s="1">
        <v>4608</v>
      </c>
      <c r="AB885" s="1">
        <v>20</v>
      </c>
      <c r="AC885" s="29">
        <v>800</v>
      </c>
    </row>
    <row r="886" spans="1:29" ht="25.5">
      <c r="A886" s="12">
        <v>68</v>
      </c>
      <c r="B886" s="12" t="s">
        <v>872</v>
      </c>
      <c r="C886" s="12">
        <v>68322</v>
      </c>
      <c r="D886" s="12" t="s">
        <v>901</v>
      </c>
      <c r="E886" s="17">
        <v>0.81620253164556966</v>
      </c>
      <c r="F886" s="17">
        <v>0.18379746835443039</v>
      </c>
      <c r="G886" s="13">
        <v>0.78716620167397366</v>
      </c>
      <c r="H886" s="13">
        <v>4.4285714285714288</v>
      </c>
      <c r="I886" s="14">
        <v>7.5888298783078127</v>
      </c>
      <c r="J886" s="16">
        <v>0.73480000000000001</v>
      </c>
      <c r="K886" s="16">
        <v>0.73480000000000001</v>
      </c>
      <c r="L886" s="13">
        <v>0.39729999999999999</v>
      </c>
      <c r="M886" s="13">
        <v>3.5299999999999998E-2</v>
      </c>
      <c r="N886" s="13">
        <v>8.1500000000000003E-2</v>
      </c>
      <c r="O886" s="13">
        <v>6.7900000000000002E-2</v>
      </c>
      <c r="P886" s="16">
        <v>0.76379999999999992</v>
      </c>
      <c r="Q886" s="16">
        <v>0.2727</v>
      </c>
      <c r="R886" s="16">
        <v>0.2727</v>
      </c>
      <c r="S886" s="16">
        <f t="shared" si="28"/>
        <v>0.43639999999999995</v>
      </c>
      <c r="T886" s="18">
        <v>0.95979247730220496</v>
      </c>
      <c r="U886" s="1">
        <v>0</v>
      </c>
      <c r="V886" s="1">
        <f t="shared" si="27"/>
        <v>0</v>
      </c>
      <c r="W886" s="25"/>
      <c r="X886">
        <v>3.2300000000000002E-2</v>
      </c>
      <c r="Y886" s="1">
        <v>8.5800000000000001E-2</v>
      </c>
      <c r="Z886" s="1">
        <v>8.2299999999999998E-2</v>
      </c>
      <c r="AA886" s="1">
        <v>2634</v>
      </c>
      <c r="AB886" s="1">
        <v>15</v>
      </c>
      <c r="AC886" s="29">
        <v>476</v>
      </c>
    </row>
    <row r="887" spans="1:29" ht="25.5">
      <c r="A887" s="12">
        <v>68</v>
      </c>
      <c r="B887" s="12" t="s">
        <v>872</v>
      </c>
      <c r="C887" s="12">
        <v>68324</v>
      </c>
      <c r="D887" s="12" t="s">
        <v>902</v>
      </c>
      <c r="E887" s="17">
        <v>0.91659852820932131</v>
      </c>
      <c r="F887" s="17">
        <v>8.3401471790678652E-2</v>
      </c>
      <c r="G887" s="13">
        <v>0.82190860215053763</v>
      </c>
      <c r="H887" s="13">
        <v>10.954397394136809</v>
      </c>
      <c r="I887" s="14">
        <v>8.2079469410486166</v>
      </c>
      <c r="J887" s="16">
        <v>0.55379999999999996</v>
      </c>
      <c r="K887" s="16">
        <v>0.55379999999999996</v>
      </c>
      <c r="L887" s="13">
        <v>0.31969999999999998</v>
      </c>
      <c r="M887" s="13">
        <v>5.1400000000000001E-2</v>
      </c>
      <c r="N887" s="13">
        <v>7.1999999999999995E-2</v>
      </c>
      <c r="O887" s="13">
        <v>1.03E-2</v>
      </c>
      <c r="P887" s="16">
        <v>0.51859999999999995</v>
      </c>
      <c r="Q887" s="16">
        <v>0.17829999999999999</v>
      </c>
      <c r="R887" s="16">
        <v>0.17829999999999999</v>
      </c>
      <c r="S887" s="16">
        <f t="shared" si="28"/>
        <v>0.29173333333333334</v>
      </c>
      <c r="T887" s="18">
        <v>1</v>
      </c>
      <c r="U887" s="1">
        <v>0</v>
      </c>
      <c r="V887" s="1">
        <f t="shared" si="27"/>
        <v>0</v>
      </c>
      <c r="W887" s="26"/>
      <c r="X887">
        <v>2.81E-2</v>
      </c>
      <c r="Y887" s="1">
        <v>5.79E-2</v>
      </c>
      <c r="Z887" s="1">
        <v>5.6300000000000003E-2</v>
      </c>
      <c r="AA887" s="1">
        <v>4326</v>
      </c>
      <c r="AB887" s="1">
        <v>12</v>
      </c>
      <c r="AC887" s="29">
        <v>619</v>
      </c>
    </row>
    <row r="888" spans="1:29" ht="25.5">
      <c r="A888" s="12">
        <v>68</v>
      </c>
      <c r="B888" s="12" t="s">
        <v>872</v>
      </c>
      <c r="C888" s="12">
        <v>68327</v>
      </c>
      <c r="D888" s="12" t="s">
        <v>903</v>
      </c>
      <c r="E888" s="17">
        <v>0.90476190476190477</v>
      </c>
      <c r="F888" s="17">
        <v>9.5238095238095233E-2</v>
      </c>
      <c r="G888" s="13">
        <v>0.80514910168549736</v>
      </c>
      <c r="H888" s="13">
        <v>9.4771084337349389</v>
      </c>
      <c r="I888" s="14">
        <v>8.3774712482411005</v>
      </c>
      <c r="J888" s="16">
        <v>0.79849999999999999</v>
      </c>
      <c r="K888" s="16">
        <v>0.79849999999999999</v>
      </c>
      <c r="L888" s="13">
        <v>0.38890000000000002</v>
      </c>
      <c r="M888" s="13">
        <v>4.6600000000000003E-2</v>
      </c>
      <c r="N888" s="13">
        <v>8.6699999999999999E-2</v>
      </c>
      <c r="O888" s="13">
        <v>5.0500000000000003E-2</v>
      </c>
      <c r="P888" s="16">
        <v>0.78760000000000008</v>
      </c>
      <c r="Q888" s="16">
        <v>0.50800000000000001</v>
      </c>
      <c r="R888" s="16">
        <v>0.57899999999999996</v>
      </c>
      <c r="S888" s="16">
        <f t="shared" si="28"/>
        <v>0.62486666666666668</v>
      </c>
      <c r="T888" s="18">
        <v>1</v>
      </c>
      <c r="U888" s="1">
        <v>0</v>
      </c>
      <c r="V888" s="1">
        <f t="shared" si="27"/>
        <v>0</v>
      </c>
      <c r="W888" s="25"/>
      <c r="X888">
        <v>7.3599999999999999E-2</v>
      </c>
      <c r="Y888" s="1">
        <v>0.69220000000000004</v>
      </c>
      <c r="Z888" s="1">
        <v>0.52600000000000002</v>
      </c>
      <c r="AA888" s="1">
        <v>5560</v>
      </c>
      <c r="AB888" s="1">
        <v>25</v>
      </c>
      <c r="AC888" s="29">
        <v>939</v>
      </c>
    </row>
    <row r="889" spans="1:29" ht="25.5">
      <c r="A889" s="12">
        <v>68</v>
      </c>
      <c r="B889" s="12" t="s">
        <v>872</v>
      </c>
      <c r="C889" s="12">
        <v>68344</v>
      </c>
      <c r="D889" s="12" t="s">
        <v>904</v>
      </c>
      <c r="E889" s="17">
        <v>0.91164658634538154</v>
      </c>
      <c r="F889" s="17">
        <v>8.8353413654618476E-2</v>
      </c>
      <c r="G889" s="13">
        <v>0.92603305785123968</v>
      </c>
      <c r="H889" s="13">
        <v>10.266331658291458</v>
      </c>
      <c r="I889" s="14">
        <v>7.7151236036321054</v>
      </c>
      <c r="J889" s="16">
        <v>0.75</v>
      </c>
      <c r="K889" s="16">
        <v>0.75</v>
      </c>
      <c r="L889" s="13">
        <v>0.49330000000000002</v>
      </c>
      <c r="M889" s="13">
        <v>2.3099999999999999E-2</v>
      </c>
      <c r="N889" s="13">
        <v>4.6199999999999998E-2</v>
      </c>
      <c r="O889" s="13">
        <v>1.4500000000000001E-2</v>
      </c>
      <c r="P889" s="16">
        <v>0.61770000000000003</v>
      </c>
      <c r="Q889" s="16">
        <v>0.24660000000000001</v>
      </c>
      <c r="R889" s="16">
        <v>0.25290000000000001</v>
      </c>
      <c r="S889" s="16">
        <f t="shared" si="28"/>
        <v>0.37240000000000001</v>
      </c>
      <c r="T889" s="18">
        <v>0.96005917159763299</v>
      </c>
      <c r="U889" s="1">
        <v>0</v>
      </c>
      <c r="V889" s="1">
        <f t="shared" si="27"/>
        <v>0</v>
      </c>
      <c r="W889" s="26"/>
      <c r="X889">
        <v>2.3199999999999998E-2</v>
      </c>
      <c r="Y889" s="1">
        <v>1.89E-2</v>
      </c>
      <c r="Z889" s="1">
        <v>1.8700000000000001E-2</v>
      </c>
      <c r="AA889" s="1">
        <v>2618</v>
      </c>
      <c r="AB889" s="1">
        <v>13</v>
      </c>
      <c r="AC889" s="29">
        <v>480</v>
      </c>
    </row>
    <row r="890" spans="1:29" ht="25.5">
      <c r="A890" s="12">
        <v>68</v>
      </c>
      <c r="B890" s="12" t="s">
        <v>872</v>
      </c>
      <c r="C890" s="12">
        <v>68368</v>
      </c>
      <c r="D890" s="12" t="s">
        <v>905</v>
      </c>
      <c r="E890" s="17">
        <v>0.91400186277553552</v>
      </c>
      <c r="F890" s="17">
        <v>8.5998137224464449E-2</v>
      </c>
      <c r="G890" s="13">
        <v>0.93173271622794329</v>
      </c>
      <c r="H890" s="13">
        <v>10.589928057553957</v>
      </c>
      <c r="I890" s="14">
        <v>8.0777575637369203</v>
      </c>
      <c r="J890" s="16">
        <v>0.70320000000000005</v>
      </c>
      <c r="K890" s="16">
        <v>0.70320000000000005</v>
      </c>
      <c r="L890" s="13">
        <v>0.51919999999999999</v>
      </c>
      <c r="M890" s="13">
        <v>1.9400000000000001E-2</v>
      </c>
      <c r="N890" s="13">
        <v>7.7600000000000002E-2</v>
      </c>
      <c r="O890" s="13">
        <v>1.9400000000000001E-2</v>
      </c>
      <c r="P890" s="16">
        <v>0.114</v>
      </c>
      <c r="Q890" s="16">
        <v>0.1149</v>
      </c>
      <c r="R890" s="16">
        <v>0.1149</v>
      </c>
      <c r="S890" s="16">
        <f t="shared" si="28"/>
        <v>0.11459999999999999</v>
      </c>
      <c r="T890" s="18">
        <v>0.74536464771322597</v>
      </c>
      <c r="U890" s="1">
        <v>0</v>
      </c>
      <c r="V890" s="1">
        <f t="shared" si="27"/>
        <v>0</v>
      </c>
      <c r="W890" s="25"/>
      <c r="X890">
        <v>6.1400000000000003E-2</v>
      </c>
      <c r="Y890" s="1">
        <v>5.9900000000000002E-2</v>
      </c>
      <c r="Z890" s="1">
        <v>5.8200000000000002E-2</v>
      </c>
      <c r="AA890" s="1">
        <v>3429</v>
      </c>
      <c r="AB890" s="1">
        <v>15</v>
      </c>
      <c r="AC890" s="29">
        <v>579</v>
      </c>
    </row>
    <row r="891" spans="1:29" ht="25.5">
      <c r="A891" s="12">
        <v>68</v>
      </c>
      <c r="B891" s="12" t="s">
        <v>872</v>
      </c>
      <c r="C891" s="12">
        <v>68370</v>
      </c>
      <c r="D891" s="12" t="s">
        <v>906</v>
      </c>
      <c r="E891" s="17">
        <v>0.94214876033057848</v>
      </c>
      <c r="F891" s="17">
        <v>5.7851239669421489E-2</v>
      </c>
      <c r="G891" s="13">
        <v>0.95343839541547282</v>
      </c>
      <c r="H891" s="13">
        <v>16.076923076923077</v>
      </c>
      <c r="I891" s="14">
        <v>7.1944368511003347</v>
      </c>
      <c r="J891" s="16">
        <v>1.0261</v>
      </c>
      <c r="K891" s="16">
        <v>1.0261</v>
      </c>
      <c r="L891" s="13">
        <v>0.85709999999999997</v>
      </c>
      <c r="M891" s="13">
        <v>2.58E-2</v>
      </c>
      <c r="N891" s="13">
        <v>8.7099999999999997E-2</v>
      </c>
      <c r="O891" s="13">
        <v>5.16E-2</v>
      </c>
      <c r="P891" s="16">
        <v>0.48780000000000001</v>
      </c>
      <c r="Q891" s="16">
        <v>0.16500000000000001</v>
      </c>
      <c r="R891" s="16">
        <v>0.16500000000000001</v>
      </c>
      <c r="S891" s="16">
        <f t="shared" si="28"/>
        <v>0.27260000000000001</v>
      </c>
      <c r="T891" s="18">
        <v>1</v>
      </c>
      <c r="U891" s="1">
        <v>0</v>
      </c>
      <c r="V891" s="1">
        <f t="shared" si="27"/>
        <v>0</v>
      </c>
      <c r="W891" s="26"/>
      <c r="X891">
        <v>2.9700000000000001E-2</v>
      </c>
      <c r="Y891" s="1">
        <v>7.3499999999999996E-2</v>
      </c>
      <c r="Z891" s="1">
        <v>7.0900000000000005E-2</v>
      </c>
      <c r="AA891" s="1">
        <v>1551</v>
      </c>
      <c r="AB891" s="1">
        <v>8</v>
      </c>
      <c r="AC891" s="29">
        <v>290</v>
      </c>
    </row>
    <row r="892" spans="1:29" ht="25.5">
      <c r="A892" s="12">
        <v>68</v>
      </c>
      <c r="B892" s="12" t="s">
        <v>872</v>
      </c>
      <c r="C892" s="12">
        <v>68377</v>
      </c>
      <c r="D892" s="12" t="s">
        <v>907</v>
      </c>
      <c r="E892" s="17">
        <v>0.92503725782414303</v>
      </c>
      <c r="F892" s="17">
        <v>7.4962742175856925E-2</v>
      </c>
      <c r="G892" s="13">
        <v>1.0038898862956314</v>
      </c>
      <c r="H892" s="13">
        <v>12.31547619047619</v>
      </c>
      <c r="I892" s="14">
        <v>8.8115032501582391</v>
      </c>
      <c r="J892" s="16">
        <v>0.74350000000000005</v>
      </c>
      <c r="K892" s="16">
        <v>0.74350000000000005</v>
      </c>
      <c r="L892" s="13">
        <v>0.32269999999999999</v>
      </c>
      <c r="M892" s="13">
        <v>3.6499999999999998E-2</v>
      </c>
      <c r="N892" s="13">
        <v>9.7500000000000003E-2</v>
      </c>
      <c r="O892" s="13">
        <v>7.5899999999999995E-2</v>
      </c>
      <c r="P892" s="16">
        <v>0.3085</v>
      </c>
      <c r="Q892" s="16">
        <v>0.29330000000000001</v>
      </c>
      <c r="R892" s="16">
        <v>0.30120000000000002</v>
      </c>
      <c r="S892" s="16">
        <f t="shared" si="28"/>
        <v>0.30099999999999999</v>
      </c>
      <c r="T892" s="18">
        <v>0.73571154583812803</v>
      </c>
      <c r="U892" s="1">
        <v>0</v>
      </c>
      <c r="V892" s="1">
        <f t="shared" si="27"/>
        <v>0</v>
      </c>
      <c r="W892" s="25"/>
      <c r="X892">
        <v>2.35E-2</v>
      </c>
      <c r="Y892" s="1">
        <v>1.7600000000000001E-2</v>
      </c>
      <c r="Z892" s="1">
        <v>1.7500000000000002E-2</v>
      </c>
      <c r="AA892" s="1">
        <v>6336</v>
      </c>
      <c r="AB892" s="1">
        <v>48</v>
      </c>
      <c r="AC892" s="29">
        <v>1191</v>
      </c>
    </row>
    <row r="893" spans="1:29" ht="25.5">
      <c r="A893" s="12">
        <v>68</v>
      </c>
      <c r="B893" s="12" t="s">
        <v>872</v>
      </c>
      <c r="C893" s="12">
        <v>68385</v>
      </c>
      <c r="D893" s="12" t="s">
        <v>909</v>
      </c>
      <c r="E893" s="17">
        <v>0.90956419514652787</v>
      </c>
      <c r="F893" s="17">
        <v>9.0435804853472163E-2</v>
      </c>
      <c r="G893" s="13">
        <v>1</v>
      </c>
      <c r="H893" s="13">
        <v>10.048237476808906</v>
      </c>
      <c r="I893" s="14">
        <v>9.3851336623493467</v>
      </c>
      <c r="J893" s="16">
        <v>0.91049999999999998</v>
      </c>
      <c r="K893" s="16">
        <v>0.91</v>
      </c>
      <c r="L893" s="13">
        <v>0.49569999999999997</v>
      </c>
      <c r="M893" s="13">
        <v>3.7199999999999997E-2</v>
      </c>
      <c r="N893" s="13">
        <v>7.5300000000000006E-2</v>
      </c>
      <c r="O893" s="13">
        <v>5.45E-2</v>
      </c>
      <c r="P893" s="16">
        <v>0.1673</v>
      </c>
      <c r="Q893" s="16">
        <v>0.1673</v>
      </c>
      <c r="R893" s="16">
        <v>0.1673</v>
      </c>
      <c r="S893" s="16">
        <f t="shared" si="28"/>
        <v>0.1673</v>
      </c>
      <c r="T893" s="18">
        <v>0.89184060721062597</v>
      </c>
      <c r="U893" s="1">
        <v>0</v>
      </c>
      <c r="V893" s="1">
        <f t="shared" si="27"/>
        <v>0</v>
      </c>
      <c r="W893" s="25"/>
      <c r="X893">
        <v>4.3900000000000002E-2</v>
      </c>
      <c r="Y893" s="1">
        <v>1.7999999999999999E-2</v>
      </c>
      <c r="Z893" s="1">
        <v>1.7899999999999999E-2</v>
      </c>
      <c r="AA893" s="1">
        <v>10619</v>
      </c>
      <c r="AB893" s="1">
        <v>82</v>
      </c>
      <c r="AC893" s="29">
        <v>2053</v>
      </c>
    </row>
    <row r="894" spans="1:29" ht="25.5">
      <c r="A894" s="12">
        <v>68</v>
      </c>
      <c r="B894" s="12" t="s">
        <v>872</v>
      </c>
      <c r="C894" s="12">
        <v>68397</v>
      </c>
      <c r="D894" s="12" t="s">
        <v>908</v>
      </c>
      <c r="E894" s="17">
        <v>0.93020937188434694</v>
      </c>
      <c r="F894" s="17">
        <v>6.9790628115653036E-2</v>
      </c>
      <c r="G894" s="13">
        <v>0.76623376623376627</v>
      </c>
      <c r="H894" s="13">
        <v>13.281138790035588</v>
      </c>
      <c r="I894" s="14">
        <v>8.2972943702669166</v>
      </c>
      <c r="J894" s="16">
        <v>0.56999999999999995</v>
      </c>
      <c r="K894" s="16">
        <v>0.56999999999999995</v>
      </c>
      <c r="L894" s="13">
        <v>0.47399999999999998</v>
      </c>
      <c r="M894" s="13">
        <v>1.9199999999999998E-2</v>
      </c>
      <c r="N894" s="13">
        <v>2.3099999999999999E-2</v>
      </c>
      <c r="O894" s="13">
        <v>9.5999999999999992E-3</v>
      </c>
      <c r="P894" s="16">
        <v>0.35680000000000001</v>
      </c>
      <c r="Q894" s="16">
        <v>8.2299999999999998E-2</v>
      </c>
      <c r="R894" s="16">
        <v>8.2299999999999998E-2</v>
      </c>
      <c r="S894" s="16">
        <f t="shared" si="28"/>
        <v>0.17379999999999998</v>
      </c>
      <c r="T894" s="18">
        <v>0.86158475426278802</v>
      </c>
      <c r="U894" s="1">
        <v>0</v>
      </c>
      <c r="V894" s="1">
        <f t="shared" si="27"/>
        <v>0</v>
      </c>
      <c r="W894" s="26"/>
      <c r="X894">
        <v>2.5100000000000001E-2</v>
      </c>
      <c r="Y894" s="1">
        <v>2.1399999999999999E-2</v>
      </c>
      <c r="Z894" s="1">
        <v>2.12E-2</v>
      </c>
      <c r="AA894" s="1">
        <v>5075</v>
      </c>
      <c r="AB894" s="1">
        <v>24</v>
      </c>
      <c r="AC894" s="29">
        <v>832</v>
      </c>
    </row>
    <row r="895" spans="1:29" ht="25.5">
      <c r="A895" s="12">
        <v>68</v>
      </c>
      <c r="B895" s="12" t="s">
        <v>872</v>
      </c>
      <c r="C895" s="12">
        <v>68406</v>
      </c>
      <c r="D895" s="12" t="s">
        <v>910</v>
      </c>
      <c r="E895" s="17">
        <v>0.66008042957762847</v>
      </c>
      <c r="F895" s="17">
        <v>0.33991957042237153</v>
      </c>
      <c r="G895" s="13">
        <v>0.93411938418778362</v>
      </c>
      <c r="H895" s="13">
        <v>1.9417396061269148</v>
      </c>
      <c r="I895" s="14">
        <v>10.669420402821721</v>
      </c>
      <c r="J895" s="16">
        <v>0.86809999999999998</v>
      </c>
      <c r="K895" s="16">
        <v>0.86770000000000003</v>
      </c>
      <c r="L895" s="13">
        <v>0.50139999999999996</v>
      </c>
      <c r="M895" s="13">
        <v>4.82E-2</v>
      </c>
      <c r="N895" s="13">
        <v>8.14E-2</v>
      </c>
      <c r="O895" s="13">
        <v>5.5800000000000002E-2</v>
      </c>
      <c r="P895" s="16">
        <v>0.49430000000000002</v>
      </c>
      <c r="Q895" s="16">
        <v>0.46729999999999999</v>
      </c>
      <c r="R895" s="16">
        <v>0.4758</v>
      </c>
      <c r="S895" s="16">
        <f t="shared" si="28"/>
        <v>0.47913333333333336</v>
      </c>
      <c r="T895" s="18">
        <v>1</v>
      </c>
      <c r="U895" s="1">
        <v>12.690355329999999</v>
      </c>
      <c r="V895" s="1">
        <f t="shared" si="27"/>
        <v>2.6166915944054492</v>
      </c>
      <c r="W895" s="26"/>
      <c r="X895">
        <v>0.20319999999999999</v>
      </c>
      <c r="Y895" s="1">
        <v>0.60219999999999996</v>
      </c>
      <c r="Z895" s="1">
        <v>0.47139999999999999</v>
      </c>
      <c r="AA895" s="1">
        <v>50221</v>
      </c>
      <c r="AB895" s="1">
        <v>394</v>
      </c>
      <c r="AC895" s="29">
        <v>9375</v>
      </c>
    </row>
    <row r="896" spans="1:29" ht="25.5">
      <c r="A896" s="12">
        <v>68</v>
      </c>
      <c r="B896" s="12" t="s">
        <v>872</v>
      </c>
      <c r="C896" s="12">
        <v>68418</v>
      </c>
      <c r="D896" s="12" t="s">
        <v>911</v>
      </c>
      <c r="E896" s="17">
        <v>0.79077876791941104</v>
      </c>
      <c r="F896" s="17">
        <v>0.20922123208058893</v>
      </c>
      <c r="G896" s="13">
        <v>0.66593562536283302</v>
      </c>
      <c r="H896" s="13">
        <v>3.7778806108283201</v>
      </c>
      <c r="I896" s="14">
        <v>9.2423234178292333</v>
      </c>
      <c r="J896" s="16">
        <v>0.79669999999999996</v>
      </c>
      <c r="K896" s="16">
        <v>0.79669999999999996</v>
      </c>
      <c r="L896" s="13">
        <v>0.50609999999999999</v>
      </c>
      <c r="M896" s="13">
        <v>2.1999999999999999E-2</v>
      </c>
      <c r="N896" s="13">
        <v>5.57E-2</v>
      </c>
      <c r="O896" s="13">
        <v>4.8300000000000003E-2</v>
      </c>
      <c r="P896" s="16">
        <v>0.1313</v>
      </c>
      <c r="Q896" s="16">
        <v>0.1012</v>
      </c>
      <c r="R896" s="16">
        <v>0.82629999999999992</v>
      </c>
      <c r="S896" s="16">
        <f t="shared" si="28"/>
        <v>0.35293333333333332</v>
      </c>
      <c r="T896" s="18">
        <v>1</v>
      </c>
      <c r="U896" s="1">
        <v>7.1428571429999996</v>
      </c>
      <c r="V896" s="1">
        <f t="shared" si="27"/>
        <v>2.0971411187967806</v>
      </c>
      <c r="W896" s="25"/>
      <c r="X896">
        <v>4.6699999999999998E-2</v>
      </c>
      <c r="Y896" s="1">
        <v>0.75060000000000004</v>
      </c>
      <c r="Z896" s="1">
        <v>0.56000000000000005</v>
      </c>
      <c r="AA896" s="1">
        <v>16737</v>
      </c>
      <c r="AB896" s="1">
        <v>140</v>
      </c>
      <c r="AC896" s="29">
        <v>3293</v>
      </c>
    </row>
    <row r="897" spans="1:29" ht="25.5">
      <c r="A897" s="12">
        <v>68</v>
      </c>
      <c r="B897" s="12" t="s">
        <v>872</v>
      </c>
      <c r="C897" s="12">
        <v>68425</v>
      </c>
      <c r="D897" s="12" t="s">
        <v>912</v>
      </c>
      <c r="E897" s="17">
        <v>0.89473684210526316</v>
      </c>
      <c r="F897" s="17">
        <v>0.10526315789473684</v>
      </c>
      <c r="G897" s="13">
        <v>0.9562913907284768</v>
      </c>
      <c r="H897" s="13">
        <v>8.462882096069869</v>
      </c>
      <c r="I897" s="14">
        <v>7.6810990015363592</v>
      </c>
      <c r="J897" s="16">
        <v>0.74880000000000002</v>
      </c>
      <c r="K897" s="16">
        <v>0.74880000000000002</v>
      </c>
      <c r="L897" s="13">
        <v>0.63890000000000002</v>
      </c>
      <c r="M897" s="13">
        <v>1.2E-2</v>
      </c>
      <c r="N897" s="13">
        <v>6.0100000000000001E-2</v>
      </c>
      <c r="O897" s="13">
        <v>4.2000000000000003E-2</v>
      </c>
      <c r="P897" s="16">
        <v>4.6699999999999998E-2</v>
      </c>
      <c r="Q897" s="16">
        <v>4.6699999999999998E-2</v>
      </c>
      <c r="R897" s="16">
        <v>4.6699999999999998E-2</v>
      </c>
      <c r="S897" s="16">
        <f t="shared" si="28"/>
        <v>4.6699999999999998E-2</v>
      </c>
      <c r="T897" s="18">
        <v>1</v>
      </c>
      <c r="U897" s="1">
        <v>0</v>
      </c>
      <c r="V897" s="1">
        <f t="shared" si="27"/>
        <v>0</v>
      </c>
      <c r="W897" s="26"/>
      <c r="X897">
        <v>2.5499999999999998E-2</v>
      </c>
      <c r="Y897" s="1">
        <v>7.2700000000000001E-2</v>
      </c>
      <c r="Z897" s="1">
        <v>7.0199999999999999E-2</v>
      </c>
      <c r="AA897" s="1">
        <v>2430</v>
      </c>
      <c r="AB897" s="1">
        <v>9</v>
      </c>
      <c r="AC897" s="29">
        <v>458</v>
      </c>
    </row>
    <row r="898" spans="1:29" ht="25.5">
      <c r="A898" s="12">
        <v>68</v>
      </c>
      <c r="B898" s="12" t="s">
        <v>872</v>
      </c>
      <c r="C898" s="12">
        <v>68432</v>
      </c>
      <c r="D898" s="12" t="s">
        <v>913</v>
      </c>
      <c r="E898" s="17">
        <v>0.72408239382893957</v>
      </c>
      <c r="F898" s="17">
        <v>0.27587522251419855</v>
      </c>
      <c r="G898" s="13">
        <v>1</v>
      </c>
      <c r="H898" s="13">
        <v>2.6242703533026113</v>
      </c>
      <c r="I898" s="14">
        <v>10.068790104160488</v>
      </c>
      <c r="J898" s="16">
        <v>1.0115000000000001</v>
      </c>
      <c r="K898" s="16">
        <v>1.0115000000000001</v>
      </c>
      <c r="L898" s="13">
        <v>0.62480000000000002</v>
      </c>
      <c r="M898" s="13">
        <v>1.2800000000000001E-2</v>
      </c>
      <c r="N898" s="13">
        <v>9.5299999999999996E-2</v>
      </c>
      <c r="O898" s="13">
        <v>0.10929999999999999</v>
      </c>
      <c r="P898" s="16">
        <v>0.71870000000000001</v>
      </c>
      <c r="Q898" s="16">
        <v>0.69930000000000003</v>
      </c>
      <c r="R898" s="16">
        <v>0.69930000000000003</v>
      </c>
      <c r="S898" s="16">
        <f t="shared" si="28"/>
        <v>0.70576666666666676</v>
      </c>
      <c r="T898" s="18">
        <v>1</v>
      </c>
      <c r="U898" s="1">
        <v>4.4444444440000002</v>
      </c>
      <c r="V898" s="1">
        <f t="shared" ref="V898:V961" si="29">LN(U898+1)</f>
        <v>1.6945957206927746</v>
      </c>
      <c r="W898" s="25"/>
      <c r="X898">
        <v>5.8200000000000002E-2</v>
      </c>
      <c r="Y898" s="1">
        <v>1.5238</v>
      </c>
      <c r="Z898" s="1">
        <v>0.92579999999999996</v>
      </c>
      <c r="AA898" s="1">
        <v>23796</v>
      </c>
      <c r="AB898" s="1">
        <v>225</v>
      </c>
      <c r="AC898" s="29">
        <v>4352</v>
      </c>
    </row>
    <row r="899" spans="1:29" ht="25.5">
      <c r="A899" s="12">
        <v>68</v>
      </c>
      <c r="B899" s="12" t="s">
        <v>872</v>
      </c>
      <c r="C899" s="12">
        <v>68444</v>
      </c>
      <c r="D899" s="12" t="s">
        <v>914</v>
      </c>
      <c r="E899" s="17">
        <v>0.91812993854258118</v>
      </c>
      <c r="F899" s="17">
        <v>8.1870061457418791E-2</v>
      </c>
      <c r="G899" s="13">
        <v>0.85238540692235731</v>
      </c>
      <c r="H899" s="13">
        <v>11.184491978609625</v>
      </c>
      <c r="I899" s="14">
        <v>8.4244197912638832</v>
      </c>
      <c r="J899" s="16">
        <v>1.1837</v>
      </c>
      <c r="K899" s="16">
        <v>1.1837</v>
      </c>
      <c r="L899" s="13">
        <v>0.77400000000000002</v>
      </c>
      <c r="M899" s="13">
        <v>2.5999999999999999E-2</v>
      </c>
      <c r="N899" s="13">
        <v>5.1900000000000002E-2</v>
      </c>
      <c r="O899" s="13">
        <v>4.9200000000000001E-2</v>
      </c>
      <c r="P899" s="16">
        <v>0.59929999999999994</v>
      </c>
      <c r="Q899" s="16">
        <v>0.38700000000000001</v>
      </c>
      <c r="R899" s="16">
        <v>0.30620000000000003</v>
      </c>
      <c r="S899" s="16">
        <f t="shared" si="28"/>
        <v>0.43083333333333335</v>
      </c>
      <c r="T899" s="18">
        <v>1</v>
      </c>
      <c r="U899" s="1">
        <v>0</v>
      </c>
      <c r="V899" s="1">
        <f t="shared" si="29"/>
        <v>0</v>
      </c>
      <c r="W899" s="26"/>
      <c r="X899">
        <v>1.6799999999999999E-2</v>
      </c>
      <c r="Y899" s="1">
        <v>7.6600000000000001E-2</v>
      </c>
      <c r="Z899" s="1">
        <v>7.3800000000000004E-2</v>
      </c>
      <c r="AA899" s="1">
        <v>5607</v>
      </c>
      <c r="AB899" s="1">
        <v>38</v>
      </c>
      <c r="AC899" s="29">
        <v>941</v>
      </c>
    </row>
    <row r="900" spans="1:29" ht="25.5">
      <c r="A900" s="12">
        <v>68</v>
      </c>
      <c r="B900" s="12" t="s">
        <v>872</v>
      </c>
      <c r="C900" s="12">
        <v>68464</v>
      </c>
      <c r="D900" s="12" t="s">
        <v>915</v>
      </c>
      <c r="E900" s="17">
        <v>0.90142276422764223</v>
      </c>
      <c r="F900" s="17">
        <v>9.8577235772357719E-2</v>
      </c>
      <c r="G900" s="13">
        <v>0.99330090850692854</v>
      </c>
      <c r="H900" s="13">
        <v>9.1357677902621717</v>
      </c>
      <c r="I900" s="14">
        <v>9.2896135528706907</v>
      </c>
      <c r="J900" s="16">
        <v>0.89370000000000005</v>
      </c>
      <c r="K900" s="16">
        <v>0.89370000000000005</v>
      </c>
      <c r="L900" s="13">
        <v>0.62860000000000005</v>
      </c>
      <c r="M900" s="13">
        <v>3.5700000000000003E-2</v>
      </c>
      <c r="N900" s="13">
        <v>5.2600000000000001E-2</v>
      </c>
      <c r="O900" s="13">
        <v>2.5600000000000001E-2</v>
      </c>
      <c r="P900" s="16">
        <v>0.50609999999999999</v>
      </c>
      <c r="Q900" s="16">
        <v>0.49719999999999998</v>
      </c>
      <c r="R900" s="16">
        <v>0.50060000000000004</v>
      </c>
      <c r="S900" s="16">
        <f t="shared" si="28"/>
        <v>0.50129999999999997</v>
      </c>
      <c r="T900" s="18">
        <v>1</v>
      </c>
      <c r="U900" s="1">
        <v>0</v>
      </c>
      <c r="V900" s="1">
        <f t="shared" si="29"/>
        <v>0</v>
      </c>
      <c r="W900" s="25"/>
      <c r="X900">
        <v>3.5099999999999999E-2</v>
      </c>
      <c r="Y900" s="1">
        <v>3.7100000000000001E-2</v>
      </c>
      <c r="Z900" s="1">
        <v>3.6400000000000002E-2</v>
      </c>
      <c r="AA900" s="1">
        <v>11185</v>
      </c>
      <c r="AB900" s="1">
        <v>71</v>
      </c>
      <c r="AC900" s="29">
        <v>2271</v>
      </c>
    </row>
    <row r="901" spans="1:29" ht="25.5">
      <c r="A901" s="12">
        <v>68</v>
      </c>
      <c r="B901" s="12" t="s">
        <v>872</v>
      </c>
      <c r="C901" s="12">
        <v>68468</v>
      </c>
      <c r="D901" s="12" t="s">
        <v>916</v>
      </c>
      <c r="E901" s="17">
        <v>0.9327586206896552</v>
      </c>
      <c r="F901" s="17">
        <v>6.7241379310344823E-2</v>
      </c>
      <c r="G901" s="13">
        <v>0.93872832369942194</v>
      </c>
      <c r="H901" s="13">
        <v>13.821167883211679</v>
      </c>
      <c r="I901" s="14">
        <v>8.3091845276862983</v>
      </c>
      <c r="J901" s="16">
        <v>0.60099999999999998</v>
      </c>
      <c r="K901" s="16">
        <v>0.60099999999999998</v>
      </c>
      <c r="L901" s="13">
        <v>0.40539999999999998</v>
      </c>
      <c r="M901" s="13">
        <v>6.3E-3</v>
      </c>
      <c r="N901" s="13">
        <v>6.5500000000000003E-2</v>
      </c>
      <c r="O901" s="13">
        <v>2.9600000000000001E-2</v>
      </c>
      <c r="P901" s="16">
        <v>6.7500000000000004E-2</v>
      </c>
      <c r="Q901" s="16">
        <v>6.7500000000000004E-2</v>
      </c>
      <c r="R901" s="16">
        <v>6.7500000000000004E-2</v>
      </c>
      <c r="S901" s="16">
        <f t="shared" si="28"/>
        <v>6.7500000000000004E-2</v>
      </c>
      <c r="T901" s="18">
        <v>0.82709081580297494</v>
      </c>
      <c r="U901" s="1">
        <v>47.619047620000003</v>
      </c>
      <c r="V901" s="1">
        <f t="shared" si="29"/>
        <v>3.8840153804608311</v>
      </c>
      <c r="W901" s="26"/>
      <c r="X901">
        <v>2.6599999999999999E-2</v>
      </c>
      <c r="Y901" s="1">
        <v>2.4199999999999999E-2</v>
      </c>
      <c r="Z901" s="1">
        <v>2.3900000000000001E-2</v>
      </c>
      <c r="AA901" s="1">
        <v>4660</v>
      </c>
      <c r="AB901" s="1">
        <v>21</v>
      </c>
      <c r="AC901" s="29">
        <v>855</v>
      </c>
    </row>
    <row r="902" spans="1:29" ht="25.5">
      <c r="A902" s="12">
        <v>68</v>
      </c>
      <c r="B902" s="12" t="s">
        <v>872</v>
      </c>
      <c r="C902" s="12">
        <v>68498</v>
      </c>
      <c r="D902" s="12" t="s">
        <v>917</v>
      </c>
      <c r="E902" s="17">
        <v>0.93466099798612667</v>
      </c>
      <c r="F902" s="17">
        <v>6.5339002013873354E-2</v>
      </c>
      <c r="G902" s="13">
        <v>0.72069021125624899</v>
      </c>
      <c r="H902" s="13">
        <v>14.255972696245733</v>
      </c>
      <c r="I902" s="14">
        <v>8.4051436876076142</v>
      </c>
      <c r="J902" s="16">
        <v>0.58779999999999999</v>
      </c>
      <c r="K902" s="16">
        <v>0.58779999999999999</v>
      </c>
      <c r="L902" s="13">
        <v>0.39789999999999998</v>
      </c>
      <c r="M902" s="13">
        <v>2.0899999999999998E-2</v>
      </c>
      <c r="N902" s="13">
        <v>2.92E-2</v>
      </c>
      <c r="O902" s="13">
        <v>1.3899999999999999E-2</v>
      </c>
      <c r="P902" s="16">
        <v>0.9154000000000001</v>
      </c>
      <c r="Q902" s="16">
        <v>0.16300000000000001</v>
      </c>
      <c r="R902" s="16">
        <v>0.16300000000000001</v>
      </c>
      <c r="S902" s="16">
        <f t="shared" si="28"/>
        <v>0.4138</v>
      </c>
      <c r="T902" s="18">
        <v>0.93138760880696292</v>
      </c>
      <c r="U902" s="1">
        <v>0</v>
      </c>
      <c r="V902" s="1">
        <f t="shared" si="29"/>
        <v>0</v>
      </c>
      <c r="W902" s="25"/>
      <c r="X902">
        <v>1.7899999999999999E-2</v>
      </c>
      <c r="Y902" s="1">
        <v>8.6400000000000005E-2</v>
      </c>
      <c r="Z902" s="1">
        <v>8.2900000000000001E-2</v>
      </c>
      <c r="AA902" s="1">
        <v>6494</v>
      </c>
      <c r="AB902" s="1">
        <v>50</v>
      </c>
      <c r="AC902" s="29">
        <v>1219</v>
      </c>
    </row>
    <row r="903" spans="1:29" ht="25.5">
      <c r="A903" s="12">
        <v>68</v>
      </c>
      <c r="B903" s="12" t="s">
        <v>872</v>
      </c>
      <c r="C903" s="12">
        <v>68500</v>
      </c>
      <c r="D903" s="12" t="s">
        <v>918</v>
      </c>
      <c r="E903" s="17">
        <v>0.81514797157506524</v>
      </c>
      <c r="F903" s="17">
        <v>0.18485202842493478</v>
      </c>
      <c r="G903" s="13">
        <v>0.99829382183908044</v>
      </c>
      <c r="H903" s="13">
        <v>4.4075875486381326</v>
      </c>
      <c r="I903" s="14">
        <v>9.316320695513415</v>
      </c>
      <c r="J903" s="16">
        <v>0.92520000000000002</v>
      </c>
      <c r="K903" s="16">
        <v>0.92520000000000002</v>
      </c>
      <c r="L903" s="13">
        <v>0.67359999999999998</v>
      </c>
      <c r="M903" s="13">
        <v>1.54E-2</v>
      </c>
      <c r="N903" s="13">
        <v>4.53E-2</v>
      </c>
      <c r="O903" s="13">
        <v>2.6200000000000001E-2</v>
      </c>
      <c r="P903" s="16">
        <v>0.9</v>
      </c>
      <c r="Q903" s="16">
        <v>0.55069999999999997</v>
      </c>
      <c r="R903" s="16">
        <v>0.50570000000000004</v>
      </c>
      <c r="S903" s="16">
        <f t="shared" si="28"/>
        <v>0.65213333333333334</v>
      </c>
      <c r="T903" s="18">
        <v>1</v>
      </c>
      <c r="U903" s="1">
        <v>0</v>
      </c>
      <c r="V903" s="1">
        <f t="shared" si="29"/>
        <v>0</v>
      </c>
      <c r="W903" s="26"/>
      <c r="X903">
        <v>6.7799999999999999E-2</v>
      </c>
      <c r="Y903" s="1">
        <v>8.9700000000000002E-2</v>
      </c>
      <c r="Z903" s="1">
        <v>8.5900000000000004E-2</v>
      </c>
      <c r="AA903" s="1">
        <v>11595</v>
      </c>
      <c r="AB903" s="1">
        <v>105</v>
      </c>
      <c r="AC903" s="29">
        <v>2090</v>
      </c>
    </row>
    <row r="904" spans="1:29" ht="25.5">
      <c r="A904" s="12">
        <v>68</v>
      </c>
      <c r="B904" s="12" t="s">
        <v>872</v>
      </c>
      <c r="C904" s="12">
        <v>68502</v>
      </c>
      <c r="D904" s="12" t="s">
        <v>919</v>
      </c>
      <c r="E904" s="17">
        <v>0.9288264698881219</v>
      </c>
      <c r="F904" s="17">
        <v>7.117353011187813E-2</v>
      </c>
      <c r="G904" s="13">
        <v>0.97561542034370641</v>
      </c>
      <c r="H904" s="13">
        <v>13.006666666666666</v>
      </c>
      <c r="I904" s="14">
        <v>8.343315881404946</v>
      </c>
      <c r="J904" s="16">
        <v>0.79259999999999997</v>
      </c>
      <c r="K904" s="16">
        <v>0.79259999999999997</v>
      </c>
      <c r="L904" s="13">
        <v>0.5</v>
      </c>
      <c r="M904" s="13">
        <v>3.56E-2</v>
      </c>
      <c r="N904" s="13">
        <v>4.3700000000000003E-2</v>
      </c>
      <c r="O904" s="13">
        <v>2.5899999999999999E-2</v>
      </c>
      <c r="P904" s="16">
        <v>0.44429999999999997</v>
      </c>
      <c r="Q904" s="16">
        <v>0.28449999999999998</v>
      </c>
      <c r="R904" s="16">
        <v>0.28449999999999998</v>
      </c>
      <c r="S904" s="16">
        <f t="shared" ref="S904:S967" si="30">+(P904+Q904+R904)/3</f>
        <v>0.3377666666666666</v>
      </c>
      <c r="T904" s="18">
        <v>0.65236427320490298</v>
      </c>
      <c r="U904" s="1">
        <v>0</v>
      </c>
      <c r="V904" s="1">
        <f t="shared" si="29"/>
        <v>0</v>
      </c>
      <c r="W904" s="25"/>
      <c r="X904">
        <v>2.4199999999999999E-2</v>
      </c>
      <c r="Y904" s="1">
        <v>1.43E-2</v>
      </c>
      <c r="Z904" s="1">
        <v>1.4200000000000001E-2</v>
      </c>
      <c r="AA904" s="1">
        <v>4721</v>
      </c>
      <c r="AB904" s="1">
        <v>20</v>
      </c>
      <c r="AC904" s="29">
        <v>813</v>
      </c>
    </row>
    <row r="905" spans="1:29" ht="25.5">
      <c r="A905" s="12">
        <v>68</v>
      </c>
      <c r="B905" s="12" t="s">
        <v>872</v>
      </c>
      <c r="C905" s="12">
        <v>68522</v>
      </c>
      <c r="D905" s="12" t="s">
        <v>920</v>
      </c>
      <c r="E905" s="17">
        <v>0.84275862068965512</v>
      </c>
      <c r="F905" s="17">
        <v>0.15724137931034482</v>
      </c>
      <c r="G905" s="13">
        <v>0.97250167672702881</v>
      </c>
      <c r="H905" s="13">
        <v>5.3362445414847164</v>
      </c>
      <c r="I905" s="14">
        <v>7.2800082528841878</v>
      </c>
      <c r="J905" s="16">
        <v>0.79849999999999999</v>
      </c>
      <c r="K905" s="16">
        <v>0.79849999999999999</v>
      </c>
      <c r="L905" s="13">
        <v>0.58330000000000004</v>
      </c>
      <c r="M905" s="13">
        <v>1.2999999999999999E-2</v>
      </c>
      <c r="N905" s="13">
        <v>2.1600000000000001E-2</v>
      </c>
      <c r="O905" s="13">
        <v>0</v>
      </c>
      <c r="P905" s="16">
        <v>0.94040000000000001</v>
      </c>
      <c r="Q905" s="16">
        <v>0.33539999999999998</v>
      </c>
      <c r="R905" s="16">
        <v>0.35270000000000001</v>
      </c>
      <c r="S905" s="16">
        <f t="shared" si="30"/>
        <v>0.54283333333333339</v>
      </c>
      <c r="T905" s="18">
        <v>0.83646112600536204</v>
      </c>
      <c r="U905" s="1">
        <v>0</v>
      </c>
      <c r="V905" s="1">
        <f t="shared" si="29"/>
        <v>0</v>
      </c>
      <c r="W905" s="26"/>
      <c r="X905">
        <v>5.91E-2</v>
      </c>
      <c r="Y905" s="1">
        <v>0.12509999999999999</v>
      </c>
      <c r="Z905" s="1">
        <v>0.1179</v>
      </c>
      <c r="AA905" s="1">
        <v>1523</v>
      </c>
      <c r="AB905" s="1">
        <v>12</v>
      </c>
      <c r="AC905" s="29">
        <v>256</v>
      </c>
    </row>
    <row r="906" spans="1:29" ht="25.5">
      <c r="A906" s="12">
        <v>68</v>
      </c>
      <c r="B906" s="12" t="s">
        <v>872</v>
      </c>
      <c r="C906" s="12">
        <v>68524</v>
      </c>
      <c r="D906" s="12" t="s">
        <v>921</v>
      </c>
      <c r="E906" s="17">
        <v>0.84031413612565442</v>
      </c>
      <c r="F906" s="17">
        <v>0.15968586387434555</v>
      </c>
      <c r="G906" s="13">
        <v>0.86036036036036034</v>
      </c>
      <c r="H906" s="13">
        <v>5.2479564032697548</v>
      </c>
      <c r="I906" s="14">
        <v>7.7376162828579043</v>
      </c>
      <c r="J906" s="16">
        <v>0.86709999999999998</v>
      </c>
      <c r="K906" s="16">
        <v>0.86709999999999998</v>
      </c>
      <c r="L906" s="13">
        <v>0.57689999999999997</v>
      </c>
      <c r="M906" s="13">
        <v>3.15E-2</v>
      </c>
      <c r="N906" s="13">
        <v>4.7199999999999999E-2</v>
      </c>
      <c r="O906" s="13">
        <v>3.15E-2</v>
      </c>
      <c r="P906" s="16">
        <v>0.94379999999999997</v>
      </c>
      <c r="Q906" s="16">
        <v>0.33390000000000003</v>
      </c>
      <c r="R906" s="16">
        <v>0.22</v>
      </c>
      <c r="S906" s="16">
        <f t="shared" si="30"/>
        <v>0.49923333333333336</v>
      </c>
      <c r="T906" s="18">
        <v>1</v>
      </c>
      <c r="U906" s="1">
        <v>0</v>
      </c>
      <c r="V906" s="1">
        <f t="shared" si="29"/>
        <v>0</v>
      </c>
      <c r="W906" s="25"/>
      <c r="X906">
        <v>1.5900000000000001E-2</v>
      </c>
      <c r="Y906" s="1">
        <v>6.7900000000000002E-2</v>
      </c>
      <c r="Z906" s="1">
        <v>6.5699999999999995E-2</v>
      </c>
      <c r="AA906" s="1">
        <v>2789</v>
      </c>
      <c r="AB906" s="1">
        <v>14</v>
      </c>
      <c r="AC906" s="29">
        <v>503</v>
      </c>
    </row>
    <row r="907" spans="1:29" ht="25.5">
      <c r="A907" s="12">
        <v>68</v>
      </c>
      <c r="B907" s="12" t="s">
        <v>872</v>
      </c>
      <c r="C907" s="12">
        <v>68533</v>
      </c>
      <c r="D907" s="12" t="s">
        <v>922</v>
      </c>
      <c r="E907" s="17">
        <v>0.84825159445788434</v>
      </c>
      <c r="F907" s="17">
        <v>0.15174840554211569</v>
      </c>
      <c r="G907" s="13">
        <v>0.92324873096446702</v>
      </c>
      <c r="H907" s="13">
        <v>5.5817655571635312</v>
      </c>
      <c r="I907" s="14">
        <v>8.4224428548704271</v>
      </c>
      <c r="J907" s="16">
        <v>0.84940000000000004</v>
      </c>
      <c r="K907" s="16">
        <v>0.84940000000000004</v>
      </c>
      <c r="L907" s="13">
        <v>0.54300000000000004</v>
      </c>
      <c r="M907" s="13">
        <v>3.2199999999999999E-2</v>
      </c>
      <c r="N907" s="13">
        <v>9.4200000000000006E-2</v>
      </c>
      <c r="O907" s="13">
        <v>9.2999999999999999E-2</v>
      </c>
      <c r="P907" s="16">
        <v>0.76709999999999989</v>
      </c>
      <c r="Q907" s="16">
        <v>0.3735</v>
      </c>
      <c r="R907" s="16">
        <v>0.38130000000000003</v>
      </c>
      <c r="S907" s="16">
        <f t="shared" si="30"/>
        <v>0.50729999999999997</v>
      </c>
      <c r="T907" s="18">
        <v>1</v>
      </c>
      <c r="U907" s="1">
        <v>0</v>
      </c>
      <c r="V907" s="1">
        <f t="shared" si="29"/>
        <v>0</v>
      </c>
      <c r="W907" s="26"/>
      <c r="X907">
        <v>1.55E-2</v>
      </c>
      <c r="Y907" s="1">
        <v>9.8199999999999996E-2</v>
      </c>
      <c r="Z907" s="1">
        <v>9.3700000000000006E-2</v>
      </c>
      <c r="AA907" s="1">
        <v>5496</v>
      </c>
      <c r="AB907" s="1">
        <v>47</v>
      </c>
      <c r="AC907" s="29">
        <v>1044</v>
      </c>
    </row>
    <row r="908" spans="1:29" ht="25.5">
      <c r="A908" s="12">
        <v>68</v>
      </c>
      <c r="B908" s="12" t="s">
        <v>872</v>
      </c>
      <c r="C908" s="12">
        <v>68547</v>
      </c>
      <c r="D908" s="12" t="s">
        <v>923</v>
      </c>
      <c r="E908" s="17">
        <v>0.49822289364316208</v>
      </c>
      <c r="F908" s="17">
        <v>0.50175830099856455</v>
      </c>
      <c r="G908" s="13">
        <v>0.83004583933858156</v>
      </c>
      <c r="H908" s="13">
        <v>0.99294155860380284</v>
      </c>
      <c r="I908" s="14">
        <v>11.979987271295043</v>
      </c>
      <c r="J908" s="16">
        <v>0.96730000000000005</v>
      </c>
      <c r="K908" s="16">
        <v>0.96619999999999995</v>
      </c>
      <c r="L908" s="13">
        <v>0.59609999999999996</v>
      </c>
      <c r="M908" s="13">
        <v>6.08E-2</v>
      </c>
      <c r="N908" s="13">
        <v>6.7299999999999999E-2</v>
      </c>
      <c r="O908" s="13">
        <v>6.7900000000000002E-2</v>
      </c>
      <c r="P908" s="16">
        <v>0.6905</v>
      </c>
      <c r="Q908" s="16">
        <v>0.65879999999999994</v>
      </c>
      <c r="R908" s="16">
        <v>0.59709999999999996</v>
      </c>
      <c r="S908" s="16">
        <f t="shared" si="30"/>
        <v>0.64879999999999993</v>
      </c>
      <c r="T908" s="18">
        <v>1</v>
      </c>
      <c r="U908" s="1">
        <v>5.8365758750000003</v>
      </c>
      <c r="V908" s="1">
        <f t="shared" si="29"/>
        <v>1.9222870032207335</v>
      </c>
      <c r="W908" s="25"/>
      <c r="X908">
        <v>0.1179</v>
      </c>
      <c r="Y908" s="1">
        <v>1.8797999999999999</v>
      </c>
      <c r="Z908" s="1">
        <v>1.0577000000000001</v>
      </c>
      <c r="AA908" s="1">
        <v>189863</v>
      </c>
      <c r="AB908" s="1">
        <v>1542</v>
      </c>
      <c r="AC908" s="29">
        <v>35367</v>
      </c>
    </row>
    <row r="909" spans="1:29" ht="25.5">
      <c r="A909" s="12">
        <v>68</v>
      </c>
      <c r="B909" s="12" t="s">
        <v>872</v>
      </c>
      <c r="C909" s="12">
        <v>68549</v>
      </c>
      <c r="D909" s="12" t="s">
        <v>924</v>
      </c>
      <c r="E909" s="17">
        <v>0.82889376371043555</v>
      </c>
      <c r="F909" s="17">
        <v>0.1711062362895644</v>
      </c>
      <c r="G909" s="13">
        <v>0.57745204487875501</v>
      </c>
      <c r="H909" s="13">
        <v>4.8354661791590496</v>
      </c>
      <c r="I909" s="14">
        <v>8.068402958569699</v>
      </c>
      <c r="J909" s="16">
        <v>0.70209999999999995</v>
      </c>
      <c r="K909" s="16">
        <v>0.70209999999999995</v>
      </c>
      <c r="L909" s="13">
        <v>0.46839999999999998</v>
      </c>
      <c r="M909" s="13">
        <v>1.47E-2</v>
      </c>
      <c r="N909" s="13">
        <v>9.2799999999999994E-2</v>
      </c>
      <c r="O909" s="13">
        <v>9.5699999999999993E-2</v>
      </c>
      <c r="P909" s="16">
        <v>0.99760000000000004</v>
      </c>
      <c r="Q909" s="16">
        <v>0.36090000000000005</v>
      </c>
      <c r="R909" s="16">
        <v>0.61680000000000001</v>
      </c>
      <c r="S909" s="16">
        <f t="shared" si="30"/>
        <v>0.65843333333333331</v>
      </c>
      <c r="T909" s="18">
        <v>0.98792270531400905</v>
      </c>
      <c r="U909" s="1">
        <v>35.714285709999999</v>
      </c>
      <c r="V909" s="1">
        <f t="shared" si="29"/>
        <v>3.6031659357231751</v>
      </c>
      <c r="W909" s="26"/>
      <c r="X909">
        <v>0.14019999999999999</v>
      </c>
      <c r="Y909" s="1">
        <v>0.59460000000000002</v>
      </c>
      <c r="Z909" s="1">
        <v>0.46660000000000001</v>
      </c>
      <c r="AA909" s="1">
        <v>6013</v>
      </c>
      <c r="AB909" s="1">
        <v>28</v>
      </c>
      <c r="AC909" s="29">
        <v>1003</v>
      </c>
    </row>
    <row r="910" spans="1:29" ht="25.5">
      <c r="A910" s="12">
        <v>68</v>
      </c>
      <c r="B910" s="12" t="s">
        <v>872</v>
      </c>
      <c r="C910" s="12">
        <v>68572</v>
      </c>
      <c r="D910" s="12" t="s">
        <v>925</v>
      </c>
      <c r="E910" s="17">
        <v>0.84211922872810896</v>
      </c>
      <c r="F910" s="17">
        <v>0.15788077127189104</v>
      </c>
      <c r="G910" s="13">
        <v>0.72586029789419615</v>
      </c>
      <c r="H910" s="13">
        <v>5.3309070548712203</v>
      </c>
      <c r="I910" s="14">
        <v>9.3331772819352459</v>
      </c>
      <c r="J910" s="16">
        <v>1.1435</v>
      </c>
      <c r="K910" s="16">
        <v>1.1435</v>
      </c>
      <c r="L910" s="13">
        <v>0.81179999999999997</v>
      </c>
      <c r="M910" s="13">
        <v>1.7399999999999999E-2</v>
      </c>
      <c r="N910" s="13">
        <v>7.1400000000000005E-2</v>
      </c>
      <c r="O910" s="13">
        <v>0.11609999999999999</v>
      </c>
      <c r="P910" s="16">
        <v>0.19670000000000001</v>
      </c>
      <c r="Q910" s="16">
        <v>0.19670000000000001</v>
      </c>
      <c r="R910" s="16">
        <v>0.19670000000000001</v>
      </c>
      <c r="S910" s="16">
        <f t="shared" si="30"/>
        <v>0.19670000000000001</v>
      </c>
      <c r="T910" s="18">
        <v>0.873342400544032</v>
      </c>
      <c r="U910" s="1">
        <v>0</v>
      </c>
      <c r="V910" s="1">
        <f t="shared" si="29"/>
        <v>0</v>
      </c>
      <c r="W910" s="25"/>
      <c r="X910">
        <v>5.3499999999999999E-2</v>
      </c>
      <c r="Y910" s="1">
        <v>0.2215</v>
      </c>
      <c r="Z910" s="1">
        <v>0.2001</v>
      </c>
      <c r="AA910" s="1">
        <v>15257</v>
      </c>
      <c r="AB910" s="1">
        <v>70</v>
      </c>
      <c r="AC910" s="29">
        <v>2532</v>
      </c>
    </row>
    <row r="911" spans="1:29" ht="25.5">
      <c r="A911" s="12">
        <v>68</v>
      </c>
      <c r="B911" s="12" t="s">
        <v>872</v>
      </c>
      <c r="C911" s="12">
        <v>68573</v>
      </c>
      <c r="D911" s="12" t="s">
        <v>926</v>
      </c>
      <c r="E911" s="17">
        <v>0.7468822170900693</v>
      </c>
      <c r="F911" s="17">
        <v>0.2531177829099307</v>
      </c>
      <c r="G911" s="13">
        <v>0.81482875423409862</v>
      </c>
      <c r="H911" s="13">
        <v>2.9489361702127659</v>
      </c>
      <c r="I911" s="14">
        <v>8.7789418818415133</v>
      </c>
      <c r="J911" s="16">
        <v>0.92479999999999996</v>
      </c>
      <c r="K911" s="16">
        <v>0.92479999999999996</v>
      </c>
      <c r="L911" s="13">
        <v>0.45100000000000001</v>
      </c>
      <c r="M911" s="13">
        <v>6.2399999999999997E-2</v>
      </c>
      <c r="N911" s="13">
        <v>7.8600000000000003E-2</v>
      </c>
      <c r="O911" s="13">
        <v>3.8699999999999998E-2</v>
      </c>
      <c r="P911" s="16">
        <v>0.8327</v>
      </c>
      <c r="Q911" s="16">
        <v>0.79790000000000005</v>
      </c>
      <c r="R911" s="16">
        <v>0.78920000000000001</v>
      </c>
      <c r="S911" s="16">
        <f t="shared" si="30"/>
        <v>0.80659999999999998</v>
      </c>
      <c r="T911" s="18">
        <v>0.92996453900709197</v>
      </c>
      <c r="U911" s="1">
        <v>0</v>
      </c>
      <c r="V911" s="1">
        <f t="shared" si="29"/>
        <v>0</v>
      </c>
      <c r="W911" s="26"/>
      <c r="X911">
        <v>7.85E-2</v>
      </c>
      <c r="Y911" s="1">
        <v>2.5700000000000001E-2</v>
      </c>
      <c r="Z911" s="1">
        <v>2.53E-2</v>
      </c>
      <c r="AA911" s="1">
        <v>8892</v>
      </c>
      <c r="AB911" s="1">
        <v>74</v>
      </c>
      <c r="AC911" s="29">
        <v>1972</v>
      </c>
    </row>
    <row r="912" spans="1:29" ht="25.5">
      <c r="A912" s="12">
        <v>68</v>
      </c>
      <c r="B912" s="12" t="s">
        <v>872</v>
      </c>
      <c r="C912" s="12">
        <v>68575</v>
      </c>
      <c r="D912" s="12" t="s">
        <v>927</v>
      </c>
      <c r="E912" s="17">
        <v>0.64304689132316506</v>
      </c>
      <c r="F912" s="17">
        <v>0.35695310867683488</v>
      </c>
      <c r="G912" s="13">
        <v>0.93284143115689822</v>
      </c>
      <c r="H912" s="13">
        <v>1.8013377926421406</v>
      </c>
      <c r="I912" s="14">
        <v>10.419420113670263</v>
      </c>
      <c r="J912" s="16">
        <v>0.94889999999999997</v>
      </c>
      <c r="K912" s="16">
        <v>0.94889999999999997</v>
      </c>
      <c r="L912" s="13">
        <v>0.42409999999999998</v>
      </c>
      <c r="M912" s="13">
        <v>4.7899999999999998E-2</v>
      </c>
      <c r="N912" s="13">
        <v>0.1095</v>
      </c>
      <c r="O912" s="13">
        <v>9.3399999999999997E-2</v>
      </c>
      <c r="P912" s="16">
        <v>0.46</v>
      </c>
      <c r="Q912" s="16">
        <v>0.46</v>
      </c>
      <c r="R912" s="16">
        <v>0.46</v>
      </c>
      <c r="S912" s="16">
        <f t="shared" si="30"/>
        <v>0.46</v>
      </c>
      <c r="T912" s="18">
        <v>0.90079531184595996</v>
      </c>
      <c r="U912" s="1">
        <v>3.215434084</v>
      </c>
      <c r="V912" s="1">
        <f t="shared" si="29"/>
        <v>1.4387525716790499</v>
      </c>
      <c r="W912" s="25"/>
      <c r="X912">
        <v>0.1346</v>
      </c>
      <c r="Y912" s="1">
        <v>0.2132</v>
      </c>
      <c r="Z912" s="1">
        <v>0.19320000000000001</v>
      </c>
      <c r="AA912" s="1">
        <v>36099</v>
      </c>
      <c r="AB912" s="1">
        <v>311</v>
      </c>
      <c r="AC912" s="29">
        <v>7984</v>
      </c>
    </row>
    <row r="913" spans="1:29" ht="25.5">
      <c r="A913" s="12">
        <v>68</v>
      </c>
      <c r="B913" s="12" t="s">
        <v>872</v>
      </c>
      <c r="C913" s="12">
        <v>68615</v>
      </c>
      <c r="D913" s="12" t="s">
        <v>97</v>
      </c>
      <c r="E913" s="17">
        <v>0.86538953835651511</v>
      </c>
      <c r="F913" s="17">
        <v>0.13461046164348495</v>
      </c>
      <c r="G913" s="13">
        <v>0.86436052515120221</v>
      </c>
      <c r="H913" s="13">
        <v>6.4268060836501899</v>
      </c>
      <c r="I913" s="14">
        <v>10.062156580664855</v>
      </c>
      <c r="J913" s="16">
        <v>1.0178</v>
      </c>
      <c r="K913" s="16">
        <v>1.0176000000000001</v>
      </c>
      <c r="L913" s="13">
        <v>0.58850000000000002</v>
      </c>
      <c r="M913" s="13">
        <v>4.7500000000000001E-2</v>
      </c>
      <c r="N913" s="13">
        <v>8.1000000000000003E-2</v>
      </c>
      <c r="O913" s="13">
        <v>3.8899999999999997E-2</v>
      </c>
      <c r="P913" s="16">
        <v>0.66099999999999992</v>
      </c>
      <c r="Q913" s="16">
        <v>0.44329999999999997</v>
      </c>
      <c r="R913" s="16">
        <v>0.42210000000000003</v>
      </c>
      <c r="S913" s="16">
        <f t="shared" si="30"/>
        <v>0.50879999999999992</v>
      </c>
      <c r="T913" s="18">
        <v>1</v>
      </c>
      <c r="U913" s="1">
        <v>13.513513509999999</v>
      </c>
      <c r="V913" s="1">
        <f t="shared" si="29"/>
        <v>2.6750801816225547</v>
      </c>
      <c r="W913" s="26"/>
      <c r="X913">
        <v>7.0300000000000001E-2</v>
      </c>
      <c r="Y913" s="1">
        <v>9.64E-2</v>
      </c>
      <c r="Z913" s="1">
        <v>9.1999999999999998E-2</v>
      </c>
      <c r="AA913" s="1">
        <v>27251</v>
      </c>
      <c r="AB913" s="1">
        <v>222</v>
      </c>
      <c r="AC913" s="29">
        <v>5181</v>
      </c>
    </row>
    <row r="914" spans="1:29" ht="25.5">
      <c r="A914" s="12">
        <v>68</v>
      </c>
      <c r="B914" s="12" t="s">
        <v>872</v>
      </c>
      <c r="C914" s="12">
        <v>68655</v>
      </c>
      <c r="D914" s="12" t="s">
        <v>928</v>
      </c>
      <c r="E914" s="17">
        <v>0.64435440302539171</v>
      </c>
      <c r="F914" s="17">
        <v>0.35564559697460835</v>
      </c>
      <c r="G914" s="13">
        <v>1</v>
      </c>
      <c r="H914" s="13">
        <v>1.8116503379661275</v>
      </c>
      <c r="I914" s="14">
        <v>10.519240598188375</v>
      </c>
      <c r="J914" s="16">
        <v>1.0348999999999999</v>
      </c>
      <c r="K914" s="16">
        <v>1.034</v>
      </c>
      <c r="L914" s="13">
        <v>0.5212</v>
      </c>
      <c r="M914" s="13">
        <v>5.2999999999999999E-2</v>
      </c>
      <c r="N914" s="13">
        <v>8.7499999999999994E-2</v>
      </c>
      <c r="O914" s="13">
        <v>8.3099999999999993E-2</v>
      </c>
      <c r="P914" s="16">
        <v>0.44500000000000001</v>
      </c>
      <c r="Q914" s="16">
        <v>0.33250000000000002</v>
      </c>
      <c r="R914" s="16">
        <v>0.44450000000000001</v>
      </c>
      <c r="S914" s="16">
        <f t="shared" si="30"/>
        <v>0.40733333333333333</v>
      </c>
      <c r="T914" s="18">
        <v>1</v>
      </c>
      <c r="U914" s="1">
        <v>10.1010101</v>
      </c>
      <c r="V914" s="1">
        <f t="shared" si="29"/>
        <v>2.4070361041780397</v>
      </c>
      <c r="W914" s="25"/>
      <c r="X914">
        <v>0.15140000000000001</v>
      </c>
      <c r="Y914" s="1">
        <v>0.25569999999999998</v>
      </c>
      <c r="Z914" s="1">
        <v>0.22770000000000001</v>
      </c>
      <c r="AA914" s="1">
        <v>37531</v>
      </c>
      <c r="AB914" s="1">
        <v>297</v>
      </c>
      <c r="AC914" s="29">
        <v>8094</v>
      </c>
    </row>
    <row r="915" spans="1:29" ht="25.5">
      <c r="A915" s="12">
        <v>68</v>
      </c>
      <c r="B915" s="12" t="s">
        <v>872</v>
      </c>
      <c r="C915" s="12">
        <v>68669</v>
      </c>
      <c r="D915" s="12" t="s">
        <v>101</v>
      </c>
      <c r="E915" s="17">
        <v>0.91379976807112484</v>
      </c>
      <c r="F915" s="17">
        <v>8.6200231928875146E-2</v>
      </c>
      <c r="G915" s="13">
        <v>0.84717825564894667</v>
      </c>
      <c r="H915" s="13">
        <v>10.585074626865671</v>
      </c>
      <c r="I915" s="14">
        <v>8.9569953119288517</v>
      </c>
      <c r="J915" s="16">
        <v>0.86050000000000004</v>
      </c>
      <c r="K915" s="16">
        <v>0.86050000000000004</v>
      </c>
      <c r="L915" s="13">
        <v>0.73329999999999995</v>
      </c>
      <c r="M915" s="13">
        <v>1.15E-2</v>
      </c>
      <c r="N915" s="13">
        <v>6.6299999999999998E-2</v>
      </c>
      <c r="O915" s="13">
        <v>4.1099999999999998E-2</v>
      </c>
      <c r="P915" s="16">
        <v>0.1653</v>
      </c>
      <c r="Q915" s="16">
        <v>0.1653</v>
      </c>
      <c r="R915" s="16">
        <v>0.17530000000000001</v>
      </c>
      <c r="S915" s="16">
        <f t="shared" si="30"/>
        <v>0.16863333333333333</v>
      </c>
      <c r="T915" s="18">
        <v>0.88734567901234496</v>
      </c>
      <c r="U915" s="1">
        <v>0</v>
      </c>
      <c r="V915" s="1">
        <f t="shared" si="29"/>
        <v>0</v>
      </c>
      <c r="W915" s="26"/>
      <c r="X915">
        <v>1.35E-2</v>
      </c>
      <c r="Y915" s="1">
        <v>7.0300000000000001E-2</v>
      </c>
      <c r="Z915" s="1">
        <v>6.7900000000000002E-2</v>
      </c>
      <c r="AA915" s="1">
        <v>8900</v>
      </c>
      <c r="AB915" s="1">
        <v>39</v>
      </c>
      <c r="AC915" s="29">
        <v>1488</v>
      </c>
    </row>
    <row r="916" spans="1:29" ht="25.5">
      <c r="A916" s="12">
        <v>68</v>
      </c>
      <c r="B916" s="12" t="s">
        <v>872</v>
      </c>
      <c r="C916" s="12">
        <v>68673</v>
      </c>
      <c r="D916" s="12" t="s">
        <v>929</v>
      </c>
      <c r="E916" s="17">
        <v>0.94755109911299651</v>
      </c>
      <c r="F916" s="17">
        <v>5.244890088700347E-2</v>
      </c>
      <c r="G916" s="13">
        <v>0.84297789336801043</v>
      </c>
      <c r="H916" s="13">
        <v>17.934306569343065</v>
      </c>
      <c r="I916" s="14">
        <v>7.8609563648763894</v>
      </c>
      <c r="J916" s="16">
        <v>0.60499999999999998</v>
      </c>
      <c r="K916" s="16">
        <v>0.60499999999999998</v>
      </c>
      <c r="L916" s="13">
        <v>0.33329999999999999</v>
      </c>
      <c r="M916" s="13">
        <v>2.2700000000000001E-2</v>
      </c>
      <c r="N916" s="13">
        <v>3.2500000000000001E-2</v>
      </c>
      <c r="O916" s="13">
        <v>4.5499999999999999E-2</v>
      </c>
      <c r="P916" s="16">
        <v>0.21710000000000002</v>
      </c>
      <c r="Q916" s="16">
        <v>4.5400000000000003E-2</v>
      </c>
      <c r="R916" s="16">
        <v>4.5400000000000003E-2</v>
      </c>
      <c r="S916" s="16">
        <f t="shared" si="30"/>
        <v>0.10263333333333334</v>
      </c>
      <c r="T916" s="18">
        <v>0.96610169491525399</v>
      </c>
      <c r="U916" s="1">
        <v>0</v>
      </c>
      <c r="V916" s="1">
        <f t="shared" si="29"/>
        <v>0</v>
      </c>
      <c r="W916" s="25"/>
      <c r="X916">
        <v>2.35E-2</v>
      </c>
      <c r="Y916" s="1">
        <v>4.8800000000000003E-2</v>
      </c>
      <c r="Z916" s="1">
        <v>4.7699999999999999E-2</v>
      </c>
      <c r="AA916" s="1">
        <v>3015</v>
      </c>
      <c r="AB916" s="1">
        <v>4</v>
      </c>
      <c r="AC916" s="29">
        <v>449</v>
      </c>
    </row>
    <row r="917" spans="1:29" ht="25.5">
      <c r="A917" s="12">
        <v>68</v>
      </c>
      <c r="B917" s="12" t="s">
        <v>872</v>
      </c>
      <c r="C917" s="12">
        <v>68679</v>
      </c>
      <c r="D917" s="12" t="s">
        <v>930</v>
      </c>
      <c r="E917" s="17">
        <v>0.48915733568781689</v>
      </c>
      <c r="F917" s="17">
        <v>0.51084266431218317</v>
      </c>
      <c r="G917" s="13">
        <v>1</v>
      </c>
      <c r="H917" s="13">
        <v>0.95752481210883289</v>
      </c>
      <c r="I917" s="14">
        <v>11.221931246747845</v>
      </c>
      <c r="J917" s="16">
        <v>1.0662</v>
      </c>
      <c r="K917" s="16">
        <v>1.0648</v>
      </c>
      <c r="L917" s="13">
        <v>0.74150000000000005</v>
      </c>
      <c r="M917" s="13">
        <v>3.4500000000000003E-2</v>
      </c>
      <c r="N917" s="13">
        <v>7.0000000000000007E-2</v>
      </c>
      <c r="O917" s="13">
        <v>3.1899999999999998E-2</v>
      </c>
      <c r="P917" s="16">
        <v>0.89390000000000003</v>
      </c>
      <c r="Q917" s="16">
        <v>0.85060000000000002</v>
      </c>
      <c r="R917" s="16">
        <v>0.8456999999999999</v>
      </c>
      <c r="S917" s="16">
        <f t="shared" si="30"/>
        <v>0.86339999999999995</v>
      </c>
      <c r="T917" s="18">
        <v>1</v>
      </c>
      <c r="U917" s="1">
        <v>3.4188034190000001</v>
      </c>
      <c r="V917" s="1">
        <f t="shared" si="29"/>
        <v>1.4858689397551603</v>
      </c>
      <c r="W917" s="26"/>
      <c r="X917">
        <v>9.0300000000000005E-2</v>
      </c>
      <c r="Y917" s="1">
        <v>1.6758</v>
      </c>
      <c r="Z917" s="1">
        <v>0.98429999999999995</v>
      </c>
      <c r="AA917" s="1">
        <v>67893</v>
      </c>
      <c r="AB917" s="1">
        <v>585</v>
      </c>
      <c r="AC917" s="29">
        <v>11255</v>
      </c>
    </row>
    <row r="918" spans="1:29" ht="25.5">
      <c r="A918" s="12">
        <v>68</v>
      </c>
      <c r="B918" s="12" t="s">
        <v>872</v>
      </c>
      <c r="C918" s="12">
        <v>68682</v>
      </c>
      <c r="D918" s="12" t="s">
        <v>931</v>
      </c>
      <c r="E918" s="17">
        <v>0.88174363400949507</v>
      </c>
      <c r="F918" s="17">
        <v>0.11825636599050496</v>
      </c>
      <c r="G918" s="13">
        <v>1.0043346337234504</v>
      </c>
      <c r="H918" s="13">
        <v>7.4290909090909087</v>
      </c>
      <c r="I918" s="14">
        <v>7.748460023899697</v>
      </c>
      <c r="J918" s="16">
        <v>0.75290000000000001</v>
      </c>
      <c r="K918" s="16">
        <v>0.75290000000000001</v>
      </c>
      <c r="L918" s="13">
        <v>0.49299999999999999</v>
      </c>
      <c r="M918" s="13">
        <v>5.5999999999999999E-3</v>
      </c>
      <c r="N918" s="13">
        <v>5.9200000000000003E-2</v>
      </c>
      <c r="O918" s="13">
        <v>1.41E-2</v>
      </c>
      <c r="P918" s="16">
        <v>0.46850000000000003</v>
      </c>
      <c r="Q918" s="16">
        <v>0.28129999999999999</v>
      </c>
      <c r="R918" s="16">
        <v>0.28129999999999999</v>
      </c>
      <c r="S918" s="16">
        <f t="shared" si="30"/>
        <v>0.34369999999999995</v>
      </c>
      <c r="T918" s="18">
        <v>0.66581415174765501</v>
      </c>
      <c r="U918" s="1">
        <v>0</v>
      </c>
      <c r="V918" s="1">
        <f t="shared" si="29"/>
        <v>0</v>
      </c>
      <c r="W918" s="25"/>
      <c r="X918">
        <v>2.8299999999999999E-2</v>
      </c>
      <c r="Y918" s="1">
        <v>2.76E-2</v>
      </c>
      <c r="Z918" s="1">
        <v>2.7199999999999998E-2</v>
      </c>
      <c r="AA918" s="1">
        <v>2525</v>
      </c>
      <c r="AB918" s="1">
        <v>8</v>
      </c>
      <c r="AC918" s="29">
        <v>472</v>
      </c>
    </row>
    <row r="919" spans="1:29" ht="25.5">
      <c r="A919" s="12">
        <v>68</v>
      </c>
      <c r="B919" s="12" t="s">
        <v>872</v>
      </c>
      <c r="C919" s="12">
        <v>68684</v>
      </c>
      <c r="D919" s="12" t="s">
        <v>932</v>
      </c>
      <c r="E919" s="17">
        <v>0.89837296620775975</v>
      </c>
      <c r="F919" s="17">
        <v>0.10162703379224031</v>
      </c>
      <c r="G919" s="13">
        <v>0.89433624356391317</v>
      </c>
      <c r="H919" s="13">
        <v>8.8181818181818183</v>
      </c>
      <c r="I919" s="14">
        <v>8.2930491397684438</v>
      </c>
      <c r="J919" s="16">
        <v>0.63470000000000004</v>
      </c>
      <c r="K919" s="16">
        <v>0.63470000000000004</v>
      </c>
      <c r="L919" s="13">
        <v>0.44059999999999999</v>
      </c>
      <c r="M919" s="13">
        <v>2.4899999999999999E-2</v>
      </c>
      <c r="N919" s="13">
        <v>0.1013</v>
      </c>
      <c r="O919" s="13">
        <v>1.34E-2</v>
      </c>
      <c r="P919" s="16">
        <v>0.29020000000000001</v>
      </c>
      <c r="Q919" s="16">
        <v>0.29020000000000001</v>
      </c>
      <c r="R919" s="16">
        <v>0.29020000000000001</v>
      </c>
      <c r="S919" s="16">
        <f t="shared" si="30"/>
        <v>0.29020000000000001</v>
      </c>
      <c r="T919" s="18">
        <v>0.84641833810888201</v>
      </c>
      <c r="U919" s="1">
        <v>0</v>
      </c>
      <c r="V919" s="1">
        <f t="shared" si="29"/>
        <v>0</v>
      </c>
      <c r="W919" s="26"/>
      <c r="X919">
        <v>0.02</v>
      </c>
      <c r="Y919" s="1">
        <v>0.19500000000000001</v>
      </c>
      <c r="Z919" s="1">
        <v>0.17810000000000001</v>
      </c>
      <c r="AA919" s="1">
        <v>4519</v>
      </c>
      <c r="AB919" s="1">
        <v>29</v>
      </c>
      <c r="AC919" s="29">
        <v>795</v>
      </c>
    </row>
    <row r="920" spans="1:29" ht="25.5">
      <c r="A920" s="12">
        <v>68</v>
      </c>
      <c r="B920" s="12" t="s">
        <v>872</v>
      </c>
      <c r="C920" s="12">
        <v>68686</v>
      </c>
      <c r="D920" s="12" t="s">
        <v>846</v>
      </c>
      <c r="E920" s="17">
        <v>0.90548122572291756</v>
      </c>
      <c r="F920" s="17">
        <v>9.451877427708244E-2</v>
      </c>
      <c r="G920" s="13">
        <v>0.86069836552748891</v>
      </c>
      <c r="H920" s="13">
        <v>9.536363636363637</v>
      </c>
      <c r="I920" s="14">
        <v>7.748460023899697</v>
      </c>
      <c r="J920" s="16">
        <v>0.70660000000000001</v>
      </c>
      <c r="K920" s="16">
        <v>0.70660000000000001</v>
      </c>
      <c r="L920" s="13">
        <v>0.40960000000000002</v>
      </c>
      <c r="M920" s="13">
        <v>2.4799999999999999E-2</v>
      </c>
      <c r="N920" s="13">
        <v>0.1295</v>
      </c>
      <c r="O920" s="13">
        <v>6.8900000000000003E-2</v>
      </c>
      <c r="P920" s="16">
        <v>0.10150000000000001</v>
      </c>
      <c r="Q920" s="16">
        <v>0.10150000000000001</v>
      </c>
      <c r="R920" s="16">
        <v>0.10150000000000001</v>
      </c>
      <c r="S920" s="16">
        <f t="shared" si="30"/>
        <v>0.10149999999999999</v>
      </c>
      <c r="T920" s="18">
        <v>0.94528875379939192</v>
      </c>
      <c r="U920" s="1">
        <v>0</v>
      </c>
      <c r="V920" s="1">
        <f t="shared" si="29"/>
        <v>0</v>
      </c>
      <c r="W920" s="25"/>
      <c r="X920">
        <v>1.23E-2</v>
      </c>
      <c r="Y920" s="1">
        <v>6.3799999999999996E-2</v>
      </c>
      <c r="Z920" s="1">
        <v>6.1899999999999997E-2</v>
      </c>
      <c r="AA920" s="1">
        <v>2665</v>
      </c>
      <c r="AB920" s="1">
        <v>15</v>
      </c>
      <c r="AC920" s="29">
        <v>484</v>
      </c>
    </row>
    <row r="921" spans="1:29" ht="25.5">
      <c r="A921" s="12">
        <v>68</v>
      </c>
      <c r="B921" s="12" t="s">
        <v>872</v>
      </c>
      <c r="C921" s="12">
        <v>68689</v>
      </c>
      <c r="D921" s="12" t="s">
        <v>933</v>
      </c>
      <c r="E921" s="17">
        <v>0.82856315808517567</v>
      </c>
      <c r="F921" s="17">
        <v>0.17143684191482433</v>
      </c>
      <c r="G921" s="13">
        <v>0.7531133335150012</v>
      </c>
      <c r="H921" s="13">
        <v>4.832032074277274</v>
      </c>
      <c r="I921" s="14">
        <v>10.226946916363429</v>
      </c>
      <c r="J921" s="16">
        <v>0.77929999999999999</v>
      </c>
      <c r="K921" s="16">
        <v>0.77929999999999999</v>
      </c>
      <c r="L921" s="13">
        <v>0.38900000000000001</v>
      </c>
      <c r="M921" s="13">
        <v>5.3800000000000001E-2</v>
      </c>
      <c r="N921" s="13">
        <v>8.4699999999999998E-2</v>
      </c>
      <c r="O921" s="13">
        <v>5.4699999999999999E-2</v>
      </c>
      <c r="P921" s="16">
        <v>0.72230000000000005</v>
      </c>
      <c r="Q921" s="16">
        <v>0.41229999999999994</v>
      </c>
      <c r="R921" s="16">
        <v>0.41240000000000004</v>
      </c>
      <c r="S921" s="16">
        <f t="shared" si="30"/>
        <v>0.51566666666666672</v>
      </c>
      <c r="T921" s="18">
        <v>0.81401115933043999</v>
      </c>
      <c r="U921" s="1">
        <v>0</v>
      </c>
      <c r="V921" s="1">
        <f t="shared" si="29"/>
        <v>0</v>
      </c>
      <c r="W921" s="26"/>
      <c r="X921">
        <v>8.5400000000000004E-2</v>
      </c>
      <c r="Y921" s="1">
        <v>0.1172</v>
      </c>
      <c r="Z921" s="1">
        <v>0.1108</v>
      </c>
      <c r="AA921" s="1">
        <v>35766</v>
      </c>
      <c r="AB921" s="1">
        <v>177</v>
      </c>
      <c r="AC921" s="29">
        <v>6931</v>
      </c>
    </row>
    <row r="922" spans="1:29" ht="25.5">
      <c r="A922" s="12">
        <v>68</v>
      </c>
      <c r="B922" s="12" t="s">
        <v>872</v>
      </c>
      <c r="C922" s="12">
        <v>68705</v>
      </c>
      <c r="D922" s="12" t="s">
        <v>113</v>
      </c>
      <c r="E922" s="17">
        <v>0.91295002686727567</v>
      </c>
      <c r="F922" s="17">
        <v>8.7049973132724348E-2</v>
      </c>
      <c r="G922" s="13">
        <v>0.73557312252964424</v>
      </c>
      <c r="H922" s="13">
        <v>10.423312883435583</v>
      </c>
      <c r="I922" s="14">
        <v>7.5294064578370126</v>
      </c>
      <c r="J922" s="16">
        <v>0.85940000000000005</v>
      </c>
      <c r="K922" s="16">
        <v>0.85940000000000005</v>
      </c>
      <c r="L922" s="13">
        <v>0.35620000000000002</v>
      </c>
      <c r="M922" s="13">
        <v>1.2999999999999999E-2</v>
      </c>
      <c r="N922" s="13">
        <v>0.1036</v>
      </c>
      <c r="O922" s="13">
        <v>4.9200000000000001E-2</v>
      </c>
      <c r="P922" s="16">
        <v>0.25489999999999996</v>
      </c>
      <c r="Q922" s="16">
        <v>0.18590000000000001</v>
      </c>
      <c r="R922" s="16">
        <v>0.23170000000000002</v>
      </c>
      <c r="S922" s="16">
        <f t="shared" si="30"/>
        <v>0.22416666666666665</v>
      </c>
      <c r="T922" s="18">
        <v>1</v>
      </c>
      <c r="U922" s="1">
        <v>0</v>
      </c>
      <c r="V922" s="1">
        <f t="shared" si="29"/>
        <v>0</v>
      </c>
      <c r="W922" s="25"/>
      <c r="X922">
        <v>5.74E-2</v>
      </c>
      <c r="Y922" s="1">
        <v>4.4200000000000003E-2</v>
      </c>
      <c r="Z922" s="1">
        <v>4.3299999999999998E-2</v>
      </c>
      <c r="AA922" s="1">
        <v>2624</v>
      </c>
      <c r="AB922" s="1">
        <v>11</v>
      </c>
      <c r="AC922" s="29">
        <v>456</v>
      </c>
    </row>
    <row r="923" spans="1:29" ht="25.5">
      <c r="A923" s="12">
        <v>68</v>
      </c>
      <c r="B923" s="12" t="s">
        <v>872</v>
      </c>
      <c r="C923" s="12">
        <v>68720</v>
      </c>
      <c r="D923" s="12" t="s">
        <v>934</v>
      </c>
      <c r="E923" s="17">
        <v>0.9309795593310326</v>
      </c>
      <c r="F923" s="17">
        <v>6.9020440668967342E-2</v>
      </c>
      <c r="G923" s="13">
        <v>1</v>
      </c>
      <c r="H923" s="13">
        <v>13.436781609195402</v>
      </c>
      <c r="I923" s="14">
        <v>8.234299635696253</v>
      </c>
      <c r="J923" s="16">
        <v>0.71579999999999999</v>
      </c>
      <c r="K923" s="16">
        <v>0.71579999999999999</v>
      </c>
      <c r="L923" s="13">
        <v>0.39679999999999999</v>
      </c>
      <c r="M923" s="13">
        <v>2.64E-2</v>
      </c>
      <c r="N923" s="13">
        <v>5.0999999999999997E-2</v>
      </c>
      <c r="O923" s="13">
        <v>2.2800000000000001E-2</v>
      </c>
      <c r="P923" s="16">
        <v>0.3629</v>
      </c>
      <c r="Q923" s="16">
        <v>0.27100000000000002</v>
      </c>
      <c r="R923" s="16">
        <v>0.2797</v>
      </c>
      <c r="S923" s="16">
        <f t="shared" si="30"/>
        <v>0.30453333333333332</v>
      </c>
      <c r="T923" s="18">
        <v>0.78953846153846097</v>
      </c>
      <c r="U923" s="1">
        <v>50</v>
      </c>
      <c r="V923" s="1">
        <f t="shared" si="29"/>
        <v>3.9318256327243257</v>
      </c>
      <c r="W923" s="26"/>
      <c r="X923">
        <v>3.0300000000000001E-2</v>
      </c>
      <c r="Y923" s="1">
        <v>5.5999999999999999E-3</v>
      </c>
      <c r="Z923" s="1">
        <v>5.5999999999999999E-3</v>
      </c>
      <c r="AA923" s="1">
        <v>3472</v>
      </c>
      <c r="AB923" s="1">
        <v>20</v>
      </c>
      <c r="AC923" s="29">
        <v>722</v>
      </c>
    </row>
    <row r="924" spans="1:29" ht="25.5">
      <c r="A924" s="12">
        <v>68</v>
      </c>
      <c r="B924" s="12" t="s">
        <v>872</v>
      </c>
      <c r="C924" s="12">
        <v>68745</v>
      </c>
      <c r="D924" s="12" t="s">
        <v>935</v>
      </c>
      <c r="E924" s="17">
        <v>0.86715160796324653</v>
      </c>
      <c r="F924" s="17">
        <v>0.13284839203675344</v>
      </c>
      <c r="G924" s="13">
        <v>0.72636262513904337</v>
      </c>
      <c r="H924" s="13">
        <v>6.5211132437619961</v>
      </c>
      <c r="I924" s="14">
        <v>8.9666113870528648</v>
      </c>
      <c r="J924" s="16">
        <v>0.74790000000000001</v>
      </c>
      <c r="K924" s="16">
        <v>0.74790000000000001</v>
      </c>
      <c r="L924" s="13">
        <v>0.34320000000000001</v>
      </c>
      <c r="M924" s="13">
        <v>3.3599999999999998E-2</v>
      </c>
      <c r="N924" s="13">
        <v>8.5699999999999998E-2</v>
      </c>
      <c r="O924" s="13">
        <v>4.6100000000000002E-2</v>
      </c>
      <c r="P924" s="16">
        <v>0.68590000000000007</v>
      </c>
      <c r="Q924" s="16">
        <v>0.37180000000000002</v>
      </c>
      <c r="R924" s="16">
        <v>0.3846</v>
      </c>
      <c r="S924" s="16">
        <f t="shared" si="30"/>
        <v>0.48076666666666673</v>
      </c>
      <c r="T924" s="18">
        <v>0.83859759949462997</v>
      </c>
      <c r="U924" s="1">
        <v>18.86792453</v>
      </c>
      <c r="V924" s="1">
        <f t="shared" si="29"/>
        <v>2.9891065986673238</v>
      </c>
      <c r="W924" s="25"/>
      <c r="X924">
        <v>4.4400000000000002E-2</v>
      </c>
      <c r="Y924" s="1">
        <v>3.2599999999999997E-2</v>
      </c>
      <c r="Z924" s="1">
        <v>3.2099999999999997E-2</v>
      </c>
      <c r="AA924" s="1">
        <v>11483</v>
      </c>
      <c r="AB924" s="1">
        <v>53</v>
      </c>
      <c r="AC924" s="29">
        <v>2243</v>
      </c>
    </row>
    <row r="925" spans="1:29" ht="25.5">
      <c r="A925" s="12">
        <v>68</v>
      </c>
      <c r="B925" s="12" t="s">
        <v>872</v>
      </c>
      <c r="C925" s="12">
        <v>68755</v>
      </c>
      <c r="D925" s="12" t="s">
        <v>936</v>
      </c>
      <c r="E925" s="17">
        <v>0.62572225256561365</v>
      </c>
      <c r="F925" s="17">
        <v>0.37427774743438641</v>
      </c>
      <c r="G925" s="13">
        <v>0.96802649154051645</v>
      </c>
      <c r="H925" s="13">
        <v>1.6716842024422087</v>
      </c>
      <c r="I925" s="14">
        <v>10.457027778709655</v>
      </c>
      <c r="J925" s="16">
        <v>1.0157</v>
      </c>
      <c r="K925" s="16">
        <v>1.0152000000000001</v>
      </c>
      <c r="L925" s="13">
        <v>0.66759999999999997</v>
      </c>
      <c r="M925" s="13">
        <v>2.6200000000000001E-2</v>
      </c>
      <c r="N925" s="13">
        <v>7.1400000000000005E-2</v>
      </c>
      <c r="O925" s="13">
        <v>5.8400000000000001E-2</v>
      </c>
      <c r="P925" s="16">
        <v>0.76739999999999997</v>
      </c>
      <c r="Q925" s="16">
        <v>0.73819999999999997</v>
      </c>
      <c r="R925" s="16">
        <v>0.72689999999999999</v>
      </c>
      <c r="S925" s="16">
        <f t="shared" si="30"/>
        <v>0.74416666666666664</v>
      </c>
      <c r="T925" s="18">
        <v>1</v>
      </c>
      <c r="U925" s="1">
        <v>3.6764705879999999</v>
      </c>
      <c r="V925" s="1">
        <f t="shared" si="29"/>
        <v>1.5425436775537558</v>
      </c>
      <c r="W925" s="26"/>
      <c r="X925">
        <v>7.2400000000000006E-2</v>
      </c>
      <c r="Y925" s="1">
        <v>0.89710000000000001</v>
      </c>
      <c r="Z925" s="1">
        <v>0.64029999999999998</v>
      </c>
      <c r="AA925" s="1">
        <v>36336</v>
      </c>
      <c r="AB925" s="1">
        <v>272</v>
      </c>
      <c r="AC925" s="29">
        <v>6053</v>
      </c>
    </row>
    <row r="926" spans="1:29" ht="25.5">
      <c r="A926" s="12">
        <v>68</v>
      </c>
      <c r="B926" s="12" t="s">
        <v>872</v>
      </c>
      <c r="C926" s="12">
        <v>68770</v>
      </c>
      <c r="D926" s="12" t="s">
        <v>937</v>
      </c>
      <c r="E926" s="17">
        <v>0.875</v>
      </c>
      <c r="F926" s="17">
        <v>0.125</v>
      </c>
      <c r="G926" s="13">
        <v>0.86652324384996726</v>
      </c>
      <c r="H926" s="13">
        <v>6.9939603106125974</v>
      </c>
      <c r="I926" s="14">
        <v>9.1339991387194601</v>
      </c>
      <c r="J926" s="16">
        <v>0.89259999999999995</v>
      </c>
      <c r="K926" s="16">
        <v>0.89259999999999995</v>
      </c>
      <c r="L926" s="13">
        <v>0.66220000000000001</v>
      </c>
      <c r="M926" s="13">
        <v>2.63E-2</v>
      </c>
      <c r="N926" s="13">
        <v>7.8299999999999995E-2</v>
      </c>
      <c r="O926" s="13">
        <v>6.1600000000000002E-2</v>
      </c>
      <c r="P926" s="16">
        <v>0.69750000000000001</v>
      </c>
      <c r="Q926" s="16">
        <v>0.36799999999999999</v>
      </c>
      <c r="R926" s="16">
        <v>0.29220000000000002</v>
      </c>
      <c r="S926" s="16">
        <f t="shared" si="30"/>
        <v>0.45256666666666673</v>
      </c>
      <c r="T926" s="18">
        <v>0.91556410873225802</v>
      </c>
      <c r="U926" s="1">
        <v>15.625</v>
      </c>
      <c r="V926" s="1">
        <f t="shared" si="29"/>
        <v>2.810907586541918</v>
      </c>
      <c r="W926" s="25"/>
      <c r="X926">
        <v>2.5700000000000001E-2</v>
      </c>
      <c r="Y926" s="1">
        <v>0.10780000000000001</v>
      </c>
      <c r="Z926" s="1">
        <v>0.1024</v>
      </c>
      <c r="AA926" s="1">
        <v>10286</v>
      </c>
      <c r="AB926" s="1">
        <v>64</v>
      </c>
      <c r="AC926" s="29">
        <v>1696</v>
      </c>
    </row>
    <row r="927" spans="1:29" ht="25.5">
      <c r="A927" s="12">
        <v>68</v>
      </c>
      <c r="B927" s="12" t="s">
        <v>872</v>
      </c>
      <c r="C927" s="12">
        <v>68773</v>
      </c>
      <c r="D927" s="12" t="s">
        <v>428</v>
      </c>
      <c r="E927" s="17">
        <v>0.94265981368454865</v>
      </c>
      <c r="F927" s="17">
        <v>5.7340186315451333E-2</v>
      </c>
      <c r="G927" s="13">
        <v>0.81899500131544334</v>
      </c>
      <c r="H927" s="13">
        <v>16.393854748603353</v>
      </c>
      <c r="I927" s="14">
        <v>8.7366499548724512</v>
      </c>
      <c r="J927" s="16">
        <v>0.64359999999999995</v>
      </c>
      <c r="K927" s="16">
        <v>0.64359999999999995</v>
      </c>
      <c r="L927" s="13">
        <v>0.35859999999999997</v>
      </c>
      <c r="M927" s="13">
        <v>2.3099999999999999E-2</v>
      </c>
      <c r="N927" s="13">
        <v>7.4399999999999994E-2</v>
      </c>
      <c r="O927" s="13">
        <v>5.3499999999999999E-2</v>
      </c>
      <c r="P927" s="16">
        <v>0.26329999999999998</v>
      </c>
      <c r="Q927" s="16">
        <v>0.21079999999999999</v>
      </c>
      <c r="R927" s="16">
        <v>8.0700000000000008E-2</v>
      </c>
      <c r="S927" s="16">
        <f t="shared" si="30"/>
        <v>0.18493333333333331</v>
      </c>
      <c r="T927" s="18">
        <v>0.92628571428571405</v>
      </c>
      <c r="U927" s="1">
        <v>29.41176471</v>
      </c>
      <c r="V927" s="1">
        <f t="shared" si="29"/>
        <v>3.4148295305876095</v>
      </c>
      <c r="W927" s="26"/>
      <c r="X927">
        <v>2.64E-2</v>
      </c>
      <c r="Y927" s="1">
        <v>1.24E-2</v>
      </c>
      <c r="Z927" s="1">
        <v>1.23E-2</v>
      </c>
      <c r="AA927" s="1">
        <v>7377</v>
      </c>
      <c r="AB927" s="1">
        <v>34</v>
      </c>
      <c r="AC927" s="29">
        <v>1342</v>
      </c>
    </row>
    <row r="928" spans="1:29" ht="25.5">
      <c r="A928" s="12">
        <v>68</v>
      </c>
      <c r="B928" s="12" t="s">
        <v>872</v>
      </c>
      <c r="C928" s="12">
        <v>68780</v>
      </c>
      <c r="D928" s="12" t="s">
        <v>938</v>
      </c>
      <c r="E928" s="17">
        <v>0.89552238805970152</v>
      </c>
      <c r="F928" s="17">
        <v>0.1044776119402985</v>
      </c>
      <c r="G928" s="13">
        <v>0.85876662636033863</v>
      </c>
      <c r="H928" s="13">
        <v>8.5483870967741939</v>
      </c>
      <c r="I928" s="14">
        <v>8.17526610411206</v>
      </c>
      <c r="J928" s="16">
        <v>0.87619999999999998</v>
      </c>
      <c r="K928" s="16">
        <v>0.87619999999999998</v>
      </c>
      <c r="L928" s="13">
        <v>0.33329999999999999</v>
      </c>
      <c r="M928" s="13">
        <v>9.1000000000000004E-3</v>
      </c>
      <c r="N928" s="13">
        <v>4.1000000000000002E-2</v>
      </c>
      <c r="O928" s="13">
        <v>3.5000000000000003E-2</v>
      </c>
      <c r="P928" s="16">
        <v>0.13650000000000001</v>
      </c>
      <c r="Q928" s="16">
        <v>0.13650000000000001</v>
      </c>
      <c r="R928" s="16">
        <v>0.13650000000000001</v>
      </c>
      <c r="S928" s="16">
        <f t="shared" si="30"/>
        <v>0.13650000000000001</v>
      </c>
      <c r="T928" s="18">
        <v>0.89919893190921196</v>
      </c>
      <c r="U928" s="1">
        <v>0</v>
      </c>
      <c r="V928" s="1">
        <f t="shared" si="29"/>
        <v>0</v>
      </c>
      <c r="W928" s="25"/>
      <c r="X928">
        <v>2.4199999999999999E-2</v>
      </c>
      <c r="Y928" s="1">
        <v>6.8400000000000002E-2</v>
      </c>
      <c r="Z928" s="1">
        <v>6.6199999999999995E-2</v>
      </c>
      <c r="AA928" s="1">
        <v>4451</v>
      </c>
      <c r="AB928" s="1">
        <v>31</v>
      </c>
      <c r="AC928" s="29">
        <v>772</v>
      </c>
    </row>
    <row r="929" spans="1:29" ht="25.5">
      <c r="A929" s="12">
        <v>68</v>
      </c>
      <c r="B929" s="12" t="s">
        <v>872</v>
      </c>
      <c r="C929" s="12">
        <v>68820</v>
      </c>
      <c r="D929" s="12" t="s">
        <v>939</v>
      </c>
      <c r="E929" s="17">
        <v>0.93511514540258867</v>
      </c>
      <c r="F929" s="17">
        <v>6.4884854597411334E-2</v>
      </c>
      <c r="G929" s="13">
        <v>0.77703761755485889</v>
      </c>
      <c r="H929" s="13">
        <v>14.374677002583979</v>
      </c>
      <c r="I929" s="14">
        <v>8.6911464985396751</v>
      </c>
      <c r="J929" s="16">
        <v>0.90339999999999998</v>
      </c>
      <c r="K929" s="16">
        <v>0.90280000000000005</v>
      </c>
      <c r="L929" s="13">
        <v>0.36859999999999998</v>
      </c>
      <c r="M929" s="13">
        <v>4.8000000000000001E-2</v>
      </c>
      <c r="N929" s="13">
        <v>5.9200000000000003E-2</v>
      </c>
      <c r="O929" s="13">
        <v>7.5200000000000003E-2</v>
      </c>
      <c r="P929" s="16">
        <v>0.15229999999999999</v>
      </c>
      <c r="Q929" s="16">
        <v>0.62970000000000004</v>
      </c>
      <c r="R929" s="16">
        <v>0.2165</v>
      </c>
      <c r="S929" s="16">
        <f t="shared" si="30"/>
        <v>0.33283333333333337</v>
      </c>
      <c r="T929" s="18">
        <v>0.95916429249762503</v>
      </c>
      <c r="U929" s="1">
        <v>20.833333329999999</v>
      </c>
      <c r="V929" s="1">
        <f t="shared" si="29"/>
        <v>3.0834378538204246</v>
      </c>
      <c r="W929" s="26"/>
      <c r="X929">
        <v>2.35E-2</v>
      </c>
      <c r="Y929" s="1">
        <v>0.1646</v>
      </c>
      <c r="Z929" s="1">
        <v>0.15240000000000001</v>
      </c>
      <c r="AA929" s="1">
        <v>8362</v>
      </c>
      <c r="AB929" s="1">
        <v>48</v>
      </c>
      <c r="AC929" s="29">
        <v>1603</v>
      </c>
    </row>
    <row r="930" spans="1:29" ht="25.5">
      <c r="A930" s="12">
        <v>68</v>
      </c>
      <c r="B930" s="12" t="s">
        <v>872</v>
      </c>
      <c r="C930" s="12">
        <v>68855</v>
      </c>
      <c r="D930" s="12" t="s">
        <v>940</v>
      </c>
      <c r="E930" s="17">
        <v>0.88592191989183711</v>
      </c>
      <c r="F930" s="17">
        <v>0.11407808010816292</v>
      </c>
      <c r="G930" s="13">
        <v>0.92093385214007784</v>
      </c>
      <c r="H930" s="13">
        <v>7.7544378698224854</v>
      </c>
      <c r="I930" s="14">
        <v>8.6857538329601542</v>
      </c>
      <c r="J930" s="16">
        <v>0.81610000000000005</v>
      </c>
      <c r="K930" s="16">
        <v>0.81440000000000001</v>
      </c>
      <c r="L930" s="13">
        <v>0.56569999999999998</v>
      </c>
      <c r="M930" s="13">
        <v>2.6200000000000001E-2</v>
      </c>
      <c r="N930" s="13">
        <v>6.6600000000000006E-2</v>
      </c>
      <c r="O930" s="13">
        <v>4.7E-2</v>
      </c>
      <c r="P930" s="16">
        <v>0.80400000000000005</v>
      </c>
      <c r="Q930" s="16">
        <v>0.80400000000000005</v>
      </c>
      <c r="R930" s="16">
        <v>0.36780000000000002</v>
      </c>
      <c r="S930" s="16">
        <f t="shared" si="30"/>
        <v>0.65859999999999996</v>
      </c>
      <c r="T930" s="18">
        <v>1</v>
      </c>
      <c r="U930" s="1">
        <v>16.666666670000001</v>
      </c>
      <c r="V930" s="1">
        <f t="shared" si="29"/>
        <v>2.8716796250726913</v>
      </c>
      <c r="W930" s="25"/>
      <c r="X930">
        <v>2.98E-2</v>
      </c>
      <c r="Y930" s="1">
        <v>0.1236</v>
      </c>
      <c r="Z930" s="1">
        <v>0.11650000000000001</v>
      </c>
      <c r="AA930" s="1">
        <v>7004</v>
      </c>
      <c r="AB930" s="1">
        <v>60</v>
      </c>
      <c r="AC930" s="29">
        <v>1300</v>
      </c>
    </row>
    <row r="931" spans="1:29" ht="25.5">
      <c r="A931" s="12">
        <v>68</v>
      </c>
      <c r="B931" s="12" t="s">
        <v>872</v>
      </c>
      <c r="C931" s="12">
        <v>68861</v>
      </c>
      <c r="D931" s="12" t="s">
        <v>941</v>
      </c>
      <c r="E931" s="17">
        <v>0.73692039392695941</v>
      </c>
      <c r="F931" s="17">
        <v>0.26307960607304065</v>
      </c>
      <c r="G931" s="13">
        <v>0.74011084959380458</v>
      </c>
      <c r="H931" s="13">
        <v>2.8005847953216376</v>
      </c>
      <c r="I931" s="14">
        <v>9.8780158865624585</v>
      </c>
      <c r="J931" s="16">
        <v>0.74819999999999998</v>
      </c>
      <c r="K931" s="16">
        <v>0.74819999999999998</v>
      </c>
      <c r="L931" s="13">
        <v>0.40079999999999999</v>
      </c>
      <c r="M931" s="13">
        <v>3.8100000000000002E-2</v>
      </c>
      <c r="N931" s="13">
        <v>6.6199999999999995E-2</v>
      </c>
      <c r="O931" s="13">
        <v>3.7100000000000001E-2</v>
      </c>
      <c r="P931" s="16">
        <v>0.58709999999999996</v>
      </c>
      <c r="Q931" s="16">
        <v>0.47509999999999997</v>
      </c>
      <c r="R931" s="16">
        <v>0.48810000000000003</v>
      </c>
      <c r="S931" s="16">
        <f t="shared" si="30"/>
        <v>0.5167666666666666</v>
      </c>
      <c r="T931" s="18">
        <v>0.84852238541850999</v>
      </c>
      <c r="U931" s="1">
        <v>0</v>
      </c>
      <c r="V931" s="1">
        <f t="shared" si="29"/>
        <v>0</v>
      </c>
      <c r="W931" s="26"/>
      <c r="X931">
        <v>5.45E-2</v>
      </c>
      <c r="Y931" s="1">
        <v>0.15440000000000001</v>
      </c>
      <c r="Z931" s="1">
        <v>0.14360000000000001</v>
      </c>
      <c r="AA931" s="1">
        <v>26750</v>
      </c>
      <c r="AB931" s="1">
        <v>112</v>
      </c>
      <c r="AC931" s="29">
        <v>4366</v>
      </c>
    </row>
    <row r="932" spans="1:29" ht="25.5">
      <c r="A932" s="12">
        <v>68</v>
      </c>
      <c r="B932" s="12" t="s">
        <v>872</v>
      </c>
      <c r="C932" s="12">
        <v>68867</v>
      </c>
      <c r="D932" s="12" t="s">
        <v>942</v>
      </c>
      <c r="E932" s="17">
        <v>0.62547673531655223</v>
      </c>
      <c r="F932" s="17">
        <v>0.37452326468344777</v>
      </c>
      <c r="G932" s="13">
        <v>0.55906183368869933</v>
      </c>
      <c r="H932" s="13">
        <v>1.6666666666666667</v>
      </c>
      <c r="I932" s="14">
        <v>7.179307969504034</v>
      </c>
      <c r="J932" s="16">
        <v>0.58389999999999997</v>
      </c>
      <c r="K932" s="16">
        <v>0.58389999999999997</v>
      </c>
      <c r="L932" s="13">
        <v>0.39439999999999997</v>
      </c>
      <c r="M932" s="13">
        <v>4.0599999999999997E-2</v>
      </c>
      <c r="N932" s="13">
        <v>5.1700000000000003E-2</v>
      </c>
      <c r="O932" s="13">
        <v>3.32E-2</v>
      </c>
      <c r="P932" s="16">
        <v>0.73790000000000011</v>
      </c>
      <c r="Q932" s="16">
        <v>0.37070000000000003</v>
      </c>
      <c r="R932" s="16">
        <v>0.55990000000000006</v>
      </c>
      <c r="S932" s="16">
        <f t="shared" si="30"/>
        <v>0.5561666666666667</v>
      </c>
      <c r="T932" s="18">
        <v>0.79568106312292297</v>
      </c>
      <c r="U932" s="1">
        <v>0</v>
      </c>
      <c r="V932" s="1">
        <f t="shared" si="29"/>
        <v>0</v>
      </c>
      <c r="W932" s="25"/>
      <c r="X932">
        <v>4.0899999999999999E-2</v>
      </c>
      <c r="Y932" s="1">
        <v>0.1593</v>
      </c>
      <c r="Z932" s="1">
        <v>0.14779999999999999</v>
      </c>
      <c r="AA932" s="1">
        <v>2162</v>
      </c>
      <c r="AB932" s="1">
        <v>4</v>
      </c>
      <c r="AC932" s="29">
        <v>389</v>
      </c>
    </row>
    <row r="933" spans="1:29" ht="25.5">
      <c r="A933" s="12">
        <v>68</v>
      </c>
      <c r="B933" s="12" t="s">
        <v>872</v>
      </c>
      <c r="C933" s="12">
        <v>68872</v>
      </c>
      <c r="D933" s="12" t="s">
        <v>214</v>
      </c>
      <c r="E933" s="17">
        <v>0.85837126960040466</v>
      </c>
      <c r="F933" s="17">
        <v>0.14162873039959534</v>
      </c>
      <c r="G933" s="13">
        <v>0.89680199591744159</v>
      </c>
      <c r="H933" s="13">
        <v>6.055307760927743</v>
      </c>
      <c r="I933" s="14">
        <v>8.9757566305194167</v>
      </c>
      <c r="J933" s="16">
        <v>0.76100000000000001</v>
      </c>
      <c r="K933" s="16">
        <v>0.76100000000000001</v>
      </c>
      <c r="L933" s="13">
        <v>0.40629999999999999</v>
      </c>
      <c r="M933" s="13">
        <v>3.27E-2</v>
      </c>
      <c r="N933" s="13">
        <v>7.8600000000000003E-2</v>
      </c>
      <c r="O933" s="13">
        <v>7.5999999999999998E-2</v>
      </c>
      <c r="P933" s="16">
        <v>1</v>
      </c>
      <c r="Q933" s="16">
        <v>0.46880000000000005</v>
      </c>
      <c r="R933" s="16">
        <v>0.42549999999999999</v>
      </c>
      <c r="S933" s="16">
        <f t="shared" si="30"/>
        <v>0.6314333333333334</v>
      </c>
      <c r="T933" s="18">
        <v>1</v>
      </c>
      <c r="U933" s="1">
        <v>0</v>
      </c>
      <c r="V933" s="1">
        <f t="shared" si="29"/>
        <v>0</v>
      </c>
      <c r="W933" s="26"/>
      <c r="X933">
        <v>2.2800000000000001E-2</v>
      </c>
      <c r="Y933" s="1">
        <v>0.31219999999999998</v>
      </c>
      <c r="Z933" s="1">
        <v>0.2717</v>
      </c>
      <c r="AA933" s="1">
        <v>8989</v>
      </c>
      <c r="AB933" s="1">
        <v>75</v>
      </c>
      <c r="AC933" s="29">
        <v>1553</v>
      </c>
    </row>
    <row r="934" spans="1:29" ht="25.5">
      <c r="A934" s="12">
        <v>68</v>
      </c>
      <c r="B934" s="12" t="s">
        <v>872</v>
      </c>
      <c r="C934" s="12">
        <v>68895</v>
      </c>
      <c r="D934" s="12" t="s">
        <v>943</v>
      </c>
      <c r="E934" s="17">
        <v>0.72431967301279987</v>
      </c>
      <c r="F934" s="17">
        <v>0.27568032698720019</v>
      </c>
      <c r="G934" s="13">
        <v>0.92867845370092894</v>
      </c>
      <c r="H934" s="13">
        <v>2.6263650546021839</v>
      </c>
      <c r="I934" s="14">
        <v>9.1375546022505301</v>
      </c>
      <c r="J934" s="16">
        <v>0.94789999999999996</v>
      </c>
      <c r="K934" s="16">
        <v>0.94730000000000003</v>
      </c>
      <c r="L934" s="13">
        <v>0.54010000000000002</v>
      </c>
      <c r="M934" s="13">
        <v>2.3099999999999999E-2</v>
      </c>
      <c r="N934" s="13">
        <v>5.9400000000000001E-2</v>
      </c>
      <c r="O934" s="13">
        <v>4.8800000000000003E-2</v>
      </c>
      <c r="P934" s="16">
        <v>0.79700000000000004</v>
      </c>
      <c r="Q934" s="16">
        <v>0.73640000000000005</v>
      </c>
      <c r="R934" s="16">
        <v>0.71150000000000002</v>
      </c>
      <c r="S934" s="16">
        <f t="shared" si="30"/>
        <v>0.74830000000000008</v>
      </c>
      <c r="T934" s="18">
        <v>1</v>
      </c>
      <c r="U934" s="1">
        <v>46.15384615</v>
      </c>
      <c r="V934" s="1">
        <f t="shared" si="29"/>
        <v>3.8534155783931086</v>
      </c>
      <c r="W934" s="25"/>
      <c r="X934">
        <v>5.5199999999999999E-2</v>
      </c>
      <c r="Y934" s="1">
        <v>0.14829999999999999</v>
      </c>
      <c r="Z934" s="1">
        <v>0.13830000000000001</v>
      </c>
      <c r="AA934" s="1">
        <v>10231</v>
      </c>
      <c r="AB934" s="1">
        <v>65</v>
      </c>
      <c r="AC934" s="29">
        <v>1838</v>
      </c>
    </row>
    <row r="935" spans="1:29">
      <c r="A935" s="12">
        <v>70</v>
      </c>
      <c r="B935" s="12" t="s">
        <v>428</v>
      </c>
      <c r="C935" s="12">
        <v>70001</v>
      </c>
      <c r="D935" s="12" t="s">
        <v>963</v>
      </c>
      <c r="E935" s="17">
        <v>0.72082490663756116</v>
      </c>
      <c r="F935" s="17">
        <v>0.27916706793789392</v>
      </c>
      <c r="G935" s="13">
        <v>1</v>
      </c>
      <c r="H935" s="13">
        <v>2.5820309131155552</v>
      </c>
      <c r="I935" s="14">
        <v>12.831510951354987</v>
      </c>
      <c r="J935" s="16">
        <v>0.96740000000000004</v>
      </c>
      <c r="K935" s="16">
        <v>0.96650000000000003</v>
      </c>
      <c r="L935" s="13">
        <v>0.57010000000000005</v>
      </c>
      <c r="M935" s="13">
        <v>3.0200000000000001E-2</v>
      </c>
      <c r="N935" s="13">
        <v>8.6999999999999994E-2</v>
      </c>
      <c r="O935" s="13">
        <v>7.7799999999999994E-2</v>
      </c>
      <c r="P935" s="16">
        <v>0.87049999999999994</v>
      </c>
      <c r="Q935" s="16">
        <v>0.81969999999999998</v>
      </c>
      <c r="R935" s="16"/>
      <c r="S935" s="16">
        <f t="shared" si="30"/>
        <v>0.56340000000000001</v>
      </c>
      <c r="T935" s="18">
        <v>0.60355748373101903</v>
      </c>
      <c r="U935" s="1">
        <v>11.51515152</v>
      </c>
      <c r="V935" s="1">
        <f t="shared" si="29"/>
        <v>2.5269400318819617</v>
      </c>
      <c r="W935" s="26"/>
      <c r="X935">
        <v>0.16969999999999999</v>
      </c>
      <c r="Y935" s="1">
        <v>5.0936000000000003</v>
      </c>
      <c r="Z935" s="1">
        <v>1.8071999999999999</v>
      </c>
      <c r="AA935" s="1">
        <v>319888</v>
      </c>
      <c r="AB935" s="1">
        <v>3300</v>
      </c>
      <c r="AC935" s="29">
        <v>64865</v>
      </c>
    </row>
    <row r="936" spans="1:29">
      <c r="A936" s="12">
        <v>70</v>
      </c>
      <c r="B936" s="12" t="s">
        <v>428</v>
      </c>
      <c r="C936" s="12">
        <v>70110</v>
      </c>
      <c r="D936" s="12" t="s">
        <v>225</v>
      </c>
      <c r="E936" s="17">
        <v>0.92587917042380519</v>
      </c>
      <c r="F936" s="17">
        <v>7.4120829576194772E-2</v>
      </c>
      <c r="G936" s="13">
        <v>0.97614646598010735</v>
      </c>
      <c r="H936" s="13">
        <v>12.476306196840826</v>
      </c>
      <c r="I936" s="14">
        <v>9.3138892476047417</v>
      </c>
      <c r="J936" s="16">
        <v>0.85319999999999996</v>
      </c>
      <c r="K936" s="16">
        <v>0.84940000000000004</v>
      </c>
      <c r="L936" s="13">
        <v>0.39950000000000002</v>
      </c>
      <c r="M936" s="13">
        <v>5.0500000000000003E-2</v>
      </c>
      <c r="N936" s="13">
        <v>0.1143</v>
      </c>
      <c r="O936" s="13">
        <v>0.1077</v>
      </c>
      <c r="P936" s="16">
        <v>0</v>
      </c>
      <c r="Q936" s="16">
        <v>0</v>
      </c>
      <c r="R936" s="16">
        <v>0</v>
      </c>
      <c r="S936" s="16">
        <f t="shared" si="30"/>
        <v>0</v>
      </c>
      <c r="T936" s="18">
        <v>0.33648790746582496</v>
      </c>
      <c r="U936" s="1">
        <v>48.780487800000003</v>
      </c>
      <c r="V936" s="1">
        <f t="shared" si="29"/>
        <v>3.907623096007546</v>
      </c>
      <c r="W936" s="26"/>
      <c r="X936" s="27">
        <v>4.0000000000000002E-4</v>
      </c>
      <c r="Y936" s="1">
        <v>0.30480000000000002</v>
      </c>
      <c r="Z936" s="1">
        <v>0.2661</v>
      </c>
      <c r="AA936" s="1">
        <v>11927</v>
      </c>
      <c r="AB936" s="1">
        <v>82</v>
      </c>
      <c r="AC936" s="29">
        <v>2619</v>
      </c>
    </row>
    <row r="937" spans="1:29">
      <c r="A937" s="12">
        <v>70</v>
      </c>
      <c r="B937" s="12" t="s">
        <v>428</v>
      </c>
      <c r="C937" s="12">
        <v>70124</v>
      </c>
      <c r="D937" s="12" t="s">
        <v>944</v>
      </c>
      <c r="E937" s="17">
        <v>0.94335068265821831</v>
      </c>
      <c r="F937" s="17">
        <v>5.6649317341781698E-2</v>
      </c>
      <c r="G937" s="13">
        <v>0.77160817181770558</v>
      </c>
      <c r="H937" s="13">
        <v>16.63031914893617</v>
      </c>
      <c r="I937" s="14">
        <v>9.4923564228013362</v>
      </c>
      <c r="J937" s="16">
        <v>0.69330000000000003</v>
      </c>
      <c r="K937" s="16">
        <v>0.69330000000000003</v>
      </c>
      <c r="L937" s="13">
        <v>0.3</v>
      </c>
      <c r="M937" s="13">
        <v>3.9800000000000002E-2</v>
      </c>
      <c r="N937" s="13">
        <v>8.7499999999999994E-2</v>
      </c>
      <c r="O937" s="13">
        <v>5.7599999999999998E-2</v>
      </c>
      <c r="P937" s="16">
        <v>0.82819999999999994</v>
      </c>
      <c r="Q937" s="16">
        <v>0.53810000000000002</v>
      </c>
      <c r="R937" s="16">
        <v>0.55490000000000006</v>
      </c>
      <c r="S937" s="16">
        <f t="shared" si="30"/>
        <v>0.64039999999999997</v>
      </c>
      <c r="T937" s="18">
        <v>0.6577868852459009</v>
      </c>
      <c r="U937" s="1">
        <v>0</v>
      </c>
      <c r="V937" s="1">
        <f t="shared" si="29"/>
        <v>0</v>
      </c>
      <c r="W937" s="25"/>
      <c r="X937">
        <v>5.8200000000000002E-2</v>
      </c>
      <c r="Y937" s="1">
        <v>0.15310000000000001</v>
      </c>
      <c r="Z937" s="1">
        <v>0.1424</v>
      </c>
      <c r="AA937" s="1">
        <v>17498</v>
      </c>
      <c r="AB937" s="1">
        <v>139</v>
      </c>
      <c r="AC937" s="29">
        <v>4129</v>
      </c>
    </row>
    <row r="938" spans="1:29">
      <c r="A938" s="12">
        <v>70</v>
      </c>
      <c r="B938" s="12" t="s">
        <v>428</v>
      </c>
      <c r="C938" s="12">
        <v>70204</v>
      </c>
      <c r="D938" s="12" t="s">
        <v>946</v>
      </c>
      <c r="E938" s="17">
        <v>0.91285131459655489</v>
      </c>
      <c r="F938" s="17">
        <v>8.7148685403445156E-2</v>
      </c>
      <c r="G938" s="13">
        <v>0.93593551124310559</v>
      </c>
      <c r="H938" s="13">
        <v>10.461038961038961</v>
      </c>
      <c r="I938" s="14">
        <v>9.0853438818014975</v>
      </c>
      <c r="J938" s="16">
        <v>0.90280000000000005</v>
      </c>
      <c r="K938" s="16">
        <v>0.90280000000000005</v>
      </c>
      <c r="L938" s="13">
        <v>0.40760000000000002</v>
      </c>
      <c r="M938" s="13">
        <v>2.2599999999999999E-2</v>
      </c>
      <c r="N938" s="13">
        <v>7.3700000000000002E-2</v>
      </c>
      <c r="O938" s="13">
        <v>6.4899999999999999E-2</v>
      </c>
      <c r="P938" s="16">
        <v>0.94840000000000002</v>
      </c>
      <c r="Q938" s="16">
        <v>0.79200000000000004</v>
      </c>
      <c r="R938" s="16">
        <v>0.94299999999999995</v>
      </c>
      <c r="S938" s="16">
        <f t="shared" si="30"/>
        <v>0.89446666666666674</v>
      </c>
      <c r="T938" s="18">
        <v>0.83025210084033607</v>
      </c>
      <c r="U938" s="1">
        <v>17.241379309999999</v>
      </c>
      <c r="V938" s="1">
        <f t="shared" si="29"/>
        <v>2.9036926018529217</v>
      </c>
      <c r="W938" s="25"/>
      <c r="X938">
        <v>2.7300000000000001E-2</v>
      </c>
      <c r="Y938" s="1">
        <v>0.3715</v>
      </c>
      <c r="Z938" s="1">
        <v>0.31590000000000001</v>
      </c>
      <c r="AA938" s="1">
        <v>10048</v>
      </c>
      <c r="AB938" s="1">
        <v>58</v>
      </c>
      <c r="AC938" s="29">
        <v>2162</v>
      </c>
    </row>
    <row r="939" spans="1:29">
      <c r="A939" s="12">
        <v>70</v>
      </c>
      <c r="B939" s="12" t="s">
        <v>428</v>
      </c>
      <c r="C939" s="12">
        <v>70215</v>
      </c>
      <c r="D939" s="12" t="s">
        <v>947</v>
      </c>
      <c r="E939" s="17">
        <v>0.80413839795760045</v>
      </c>
      <c r="F939" s="17">
        <v>0.19584749707321888</v>
      </c>
      <c r="G939" s="13">
        <v>0.99321948417646155</v>
      </c>
      <c r="H939" s="13">
        <v>4.1056459743626679</v>
      </c>
      <c r="I939" s="14">
        <v>11.168997503377634</v>
      </c>
      <c r="J939" s="16">
        <v>1.0049999999999999</v>
      </c>
      <c r="K939" s="16">
        <v>1.0044</v>
      </c>
      <c r="L939" s="13">
        <v>0.61080000000000001</v>
      </c>
      <c r="M939" s="13">
        <v>2.23E-2</v>
      </c>
      <c r="N939" s="13">
        <v>9.8000000000000004E-2</v>
      </c>
      <c r="O939" s="13">
        <v>7.4499999999999997E-2</v>
      </c>
      <c r="P939" s="16">
        <v>0.74140000000000006</v>
      </c>
      <c r="Q939" s="16">
        <v>0.6502</v>
      </c>
      <c r="R939" s="16">
        <v>0.61570000000000003</v>
      </c>
      <c r="S939" s="16">
        <f t="shared" si="30"/>
        <v>0.66909999999999992</v>
      </c>
      <c r="T939" s="18">
        <v>0.70271210013908203</v>
      </c>
      <c r="U939" s="1">
        <v>11.49425287</v>
      </c>
      <c r="V939" s="1">
        <f t="shared" si="29"/>
        <v>2.5252687681814372</v>
      </c>
      <c r="W939" s="26"/>
      <c r="X939">
        <v>5.4699999999999999E-2</v>
      </c>
      <c r="Y939" s="1">
        <v>1.3982000000000001</v>
      </c>
      <c r="Z939" s="1">
        <v>0.87470000000000003</v>
      </c>
      <c r="AA939" s="1">
        <v>76816</v>
      </c>
      <c r="AB939" s="1">
        <v>609</v>
      </c>
      <c r="AC939" s="29">
        <v>15333</v>
      </c>
    </row>
    <row r="940" spans="1:29">
      <c r="A940" s="12">
        <v>70</v>
      </c>
      <c r="B940" s="12" t="s">
        <v>428</v>
      </c>
      <c r="C940" s="12">
        <v>70221</v>
      </c>
      <c r="D940" s="12" t="s">
        <v>948</v>
      </c>
      <c r="E940" s="17">
        <v>0.91185454545454547</v>
      </c>
      <c r="F940" s="17">
        <v>8.8145454545454541E-2</v>
      </c>
      <c r="G940" s="13">
        <v>0.64192343604108315</v>
      </c>
      <c r="H940" s="13">
        <v>10.336356141797197</v>
      </c>
      <c r="I940" s="14">
        <v>9.5288668277229451</v>
      </c>
      <c r="J940" s="16">
        <v>1.0378000000000001</v>
      </c>
      <c r="K940" s="16">
        <v>1.0378000000000001</v>
      </c>
      <c r="L940" s="13">
        <v>0.54590000000000005</v>
      </c>
      <c r="M940" s="13">
        <v>3.2300000000000002E-2</v>
      </c>
      <c r="N940" s="13">
        <v>8.3299999999999999E-2</v>
      </c>
      <c r="O940" s="13">
        <v>6.8900000000000003E-2</v>
      </c>
      <c r="P940" s="16">
        <v>1</v>
      </c>
      <c r="Q940" s="16">
        <v>1</v>
      </c>
      <c r="R940" s="16">
        <v>1</v>
      </c>
      <c r="S940" s="16">
        <f t="shared" si="30"/>
        <v>1</v>
      </c>
      <c r="T940" s="18">
        <v>0.69628043885469593</v>
      </c>
      <c r="U940" s="1">
        <v>9.5238095240000007</v>
      </c>
      <c r="V940" s="1">
        <f t="shared" si="29"/>
        <v>2.3536402638124296</v>
      </c>
      <c r="W940" s="25"/>
      <c r="X940" s="28">
        <v>33797</v>
      </c>
      <c r="Y940" s="1">
        <v>4.8910999999999998</v>
      </c>
      <c r="Z940" s="1">
        <v>1.7735000000000001</v>
      </c>
      <c r="AA940" s="1">
        <v>21748</v>
      </c>
      <c r="AB940" s="1">
        <v>210</v>
      </c>
      <c r="AC940" s="29">
        <v>4310</v>
      </c>
    </row>
    <row r="941" spans="1:29">
      <c r="A941" s="12">
        <v>70</v>
      </c>
      <c r="B941" s="12" t="s">
        <v>428</v>
      </c>
      <c r="C941" s="12">
        <v>70230</v>
      </c>
      <c r="D941" s="12" t="s">
        <v>945</v>
      </c>
      <c r="E941" s="17">
        <v>0.92073510302580286</v>
      </c>
      <c r="F941" s="17">
        <v>7.9264896974197141E-2</v>
      </c>
      <c r="G941" s="13">
        <v>1</v>
      </c>
      <c r="H941" s="13">
        <v>11.588785046728972</v>
      </c>
      <c r="I941" s="14">
        <v>8.5919295375302553</v>
      </c>
      <c r="J941" s="16">
        <v>0.81840000000000002</v>
      </c>
      <c r="K941" s="16">
        <v>0.81840000000000002</v>
      </c>
      <c r="L941" s="13">
        <v>0.28420000000000001</v>
      </c>
      <c r="M941" s="13">
        <v>2.6599999999999999E-2</v>
      </c>
      <c r="N941" s="13">
        <v>8.8599999999999998E-2</v>
      </c>
      <c r="O941" s="13">
        <v>9.8599999999999993E-2</v>
      </c>
      <c r="P941" s="16">
        <v>1</v>
      </c>
      <c r="Q941" s="16">
        <v>0.51219999999999999</v>
      </c>
      <c r="R941" s="16">
        <v>0.60549999999999993</v>
      </c>
      <c r="S941" s="16">
        <f t="shared" si="30"/>
        <v>0.70590000000000008</v>
      </c>
      <c r="T941" s="18">
        <v>0.47080291970802896</v>
      </c>
      <c r="U941" s="1">
        <v>19.23076923</v>
      </c>
      <c r="V941" s="1">
        <f t="shared" si="29"/>
        <v>3.0072046746782051</v>
      </c>
      <c r="W941" s="26"/>
      <c r="X941">
        <v>3.8399999999999997E-2</v>
      </c>
      <c r="Y941" s="1">
        <v>0.19320000000000001</v>
      </c>
      <c r="Z941" s="1">
        <v>0.17660000000000001</v>
      </c>
      <c r="AA941" s="1">
        <v>4847</v>
      </c>
      <c r="AB941" s="1">
        <v>52</v>
      </c>
      <c r="AC941" s="29">
        <v>1065</v>
      </c>
    </row>
    <row r="942" spans="1:29">
      <c r="A942" s="12">
        <v>70</v>
      </c>
      <c r="B942" s="12" t="s">
        <v>428</v>
      </c>
      <c r="C942" s="12">
        <v>70233</v>
      </c>
      <c r="D942" s="12" t="s">
        <v>949</v>
      </c>
      <c r="E942" s="17">
        <v>0.96366920915295062</v>
      </c>
      <c r="F942" s="17">
        <v>3.6330790847049377E-2</v>
      </c>
      <c r="G942" s="13">
        <v>0.95468046373478965</v>
      </c>
      <c r="H942" s="13">
        <v>26.451790633608816</v>
      </c>
      <c r="I942" s="14">
        <v>9.2068342326468944</v>
      </c>
      <c r="J942" s="16">
        <v>0.94640000000000002</v>
      </c>
      <c r="K942" s="16">
        <v>0.94640000000000002</v>
      </c>
      <c r="L942" s="13">
        <v>0.51539999999999997</v>
      </c>
      <c r="M942" s="13">
        <v>3.4200000000000001E-2</v>
      </c>
      <c r="N942" s="13">
        <v>0.11219999999999999</v>
      </c>
      <c r="O942" s="13">
        <v>0.10680000000000001</v>
      </c>
      <c r="P942" s="16">
        <v>0.69909999999999994</v>
      </c>
      <c r="Q942" s="16">
        <v>0.51849999999999996</v>
      </c>
      <c r="R942" s="16">
        <v>0.44310000000000005</v>
      </c>
      <c r="S942" s="16">
        <f t="shared" si="30"/>
        <v>0.55356666666666665</v>
      </c>
      <c r="T942" s="18">
        <v>0.61706073249884097</v>
      </c>
      <c r="U942" s="1">
        <v>12.820512819999999</v>
      </c>
      <c r="V942" s="1">
        <f t="shared" si="29"/>
        <v>2.626153924742245</v>
      </c>
      <c r="W942" s="26"/>
      <c r="X942">
        <v>8.0500000000000002E-2</v>
      </c>
      <c r="Y942" s="1">
        <v>0.1636</v>
      </c>
      <c r="Z942" s="1">
        <v>0.1515</v>
      </c>
      <c r="AA942" s="1">
        <v>10586</v>
      </c>
      <c r="AB942" s="1">
        <v>78</v>
      </c>
      <c r="AC942" s="29">
        <v>2353</v>
      </c>
    </row>
    <row r="943" spans="1:29">
      <c r="A943" s="12">
        <v>70</v>
      </c>
      <c r="B943" s="12" t="s">
        <v>428</v>
      </c>
      <c r="C943" s="12">
        <v>70235</v>
      </c>
      <c r="D943" s="12" t="s">
        <v>950</v>
      </c>
      <c r="E943" s="17">
        <v>0.94425863991081382</v>
      </c>
      <c r="F943" s="17">
        <v>5.5741360089186176E-2</v>
      </c>
      <c r="G943" s="13">
        <v>0.94982487578398633</v>
      </c>
      <c r="H943" s="13">
        <v>16.926979246733282</v>
      </c>
      <c r="I943" s="14">
        <v>10.057195277130344</v>
      </c>
      <c r="J943" s="16">
        <v>0.83830000000000005</v>
      </c>
      <c r="K943" s="16">
        <v>0.83789999999999998</v>
      </c>
      <c r="L943" s="13">
        <v>0.42459999999999998</v>
      </c>
      <c r="M943" s="13">
        <v>3.3399999999999999E-2</v>
      </c>
      <c r="N943" s="13">
        <v>0.1062</v>
      </c>
      <c r="O943" s="13">
        <v>8.9700000000000002E-2</v>
      </c>
      <c r="P943" s="16">
        <v>0.68669999999999998</v>
      </c>
      <c r="Q943" s="16">
        <v>0.36369999999999997</v>
      </c>
      <c r="R943" s="16">
        <v>0.58540000000000003</v>
      </c>
      <c r="S943" s="16">
        <f t="shared" si="30"/>
        <v>0.54526666666666668</v>
      </c>
      <c r="T943" s="18">
        <v>0.73245033112582703</v>
      </c>
      <c r="U943" s="1">
        <v>18.348623849999999</v>
      </c>
      <c r="V943" s="1">
        <f t="shared" si="29"/>
        <v>2.9626212980836755</v>
      </c>
      <c r="W943" s="25"/>
      <c r="X943">
        <v>1.72E-2</v>
      </c>
      <c r="Y943" s="1">
        <v>0.216</v>
      </c>
      <c r="Z943" s="1">
        <v>0.19550000000000001</v>
      </c>
      <c r="AA943" s="1">
        <v>25175</v>
      </c>
      <c r="AB943" s="1">
        <v>218</v>
      </c>
      <c r="AC943" s="29">
        <v>5868</v>
      </c>
    </row>
    <row r="944" spans="1:29">
      <c r="A944" s="12">
        <v>70</v>
      </c>
      <c r="B944" s="12" t="s">
        <v>428</v>
      </c>
      <c r="C944" s="12">
        <v>70265</v>
      </c>
      <c r="D944" s="12" t="s">
        <v>951</v>
      </c>
      <c r="E944" s="17">
        <v>0.9571173317450864</v>
      </c>
      <c r="F944" s="17">
        <v>4.2882668254913638E-2</v>
      </c>
      <c r="G944" s="13">
        <v>1</v>
      </c>
      <c r="H944" s="13">
        <v>22.293641618497109</v>
      </c>
      <c r="I944" s="14">
        <v>9.9109099383517663</v>
      </c>
      <c r="J944" s="16">
        <v>0.86660000000000004</v>
      </c>
      <c r="K944" s="16">
        <v>0.86519999999999997</v>
      </c>
      <c r="L944" s="13">
        <v>0.32540000000000002</v>
      </c>
      <c r="M944" s="13">
        <v>5.0099999999999999E-2</v>
      </c>
      <c r="N944" s="13">
        <v>0.1048</v>
      </c>
      <c r="O944" s="13">
        <v>5.8500000000000003E-2</v>
      </c>
      <c r="P944" s="16">
        <v>0.80079999999999996</v>
      </c>
      <c r="Q944" s="16">
        <v>8.3199999999999996E-2</v>
      </c>
      <c r="R944" s="16">
        <v>0.67430000000000012</v>
      </c>
      <c r="S944" s="16">
        <f t="shared" si="30"/>
        <v>0.5194333333333333</v>
      </c>
      <c r="T944" s="18">
        <v>0.65716856628674192</v>
      </c>
      <c r="U944" s="1">
        <v>11.673151750000001</v>
      </c>
      <c r="V944" s="1">
        <f t="shared" si="29"/>
        <v>2.5394857203042558</v>
      </c>
      <c r="W944" s="26"/>
      <c r="X944">
        <v>5.1400000000000001E-2</v>
      </c>
      <c r="Y944" s="1">
        <v>5.2400000000000002E-2</v>
      </c>
      <c r="Z944" s="1">
        <v>5.11E-2</v>
      </c>
      <c r="AA944" s="1">
        <v>19509</v>
      </c>
      <c r="AB944" s="1">
        <v>257</v>
      </c>
      <c r="AC944" s="29">
        <v>4887</v>
      </c>
    </row>
    <row r="945" spans="1:29">
      <c r="A945" s="12">
        <v>70</v>
      </c>
      <c r="B945" s="12" t="s">
        <v>428</v>
      </c>
      <c r="C945" s="12">
        <v>70400</v>
      </c>
      <c r="D945" s="12" t="s">
        <v>77</v>
      </c>
      <c r="E945" s="17">
        <v>0.91624384702764106</v>
      </c>
      <c r="F945" s="17">
        <v>8.3756152972358958E-2</v>
      </c>
      <c r="G945" s="13">
        <v>0.91232554926074338</v>
      </c>
      <c r="H945" s="13">
        <v>10.929539295392955</v>
      </c>
      <c r="I945" s="14">
        <v>9.4884265507545162</v>
      </c>
      <c r="J945" s="16">
        <v>0.86619999999999997</v>
      </c>
      <c r="K945" s="16">
        <v>0.86619999999999997</v>
      </c>
      <c r="L945" s="13">
        <v>0.42470000000000002</v>
      </c>
      <c r="M945" s="13">
        <v>1.46E-2</v>
      </c>
      <c r="N945" s="13">
        <v>9.4399999999999998E-2</v>
      </c>
      <c r="O945" s="13">
        <v>5.9499999999999997E-2</v>
      </c>
      <c r="P945" s="16">
        <v>0</v>
      </c>
      <c r="Q945" s="16">
        <v>0</v>
      </c>
      <c r="R945" s="16">
        <v>0</v>
      </c>
      <c r="S945" s="16">
        <f t="shared" si="30"/>
        <v>0</v>
      </c>
      <c r="T945" s="18">
        <v>0.74987443495730699</v>
      </c>
      <c r="U945" s="1">
        <v>40.816326529999998</v>
      </c>
      <c r="V945" s="1">
        <f t="shared" si="29"/>
        <v>3.7332868501136316</v>
      </c>
      <c r="W945" s="25"/>
      <c r="X945">
        <v>7.2800000000000004E-2</v>
      </c>
      <c r="Y945" s="1">
        <v>0.58289999999999997</v>
      </c>
      <c r="Z945" s="1">
        <v>0.45929999999999999</v>
      </c>
      <c r="AA945" s="1">
        <v>13950</v>
      </c>
      <c r="AB945" s="1">
        <v>98</v>
      </c>
      <c r="AC945" s="29">
        <v>3019</v>
      </c>
    </row>
    <row r="946" spans="1:29">
      <c r="A946" s="12">
        <v>70</v>
      </c>
      <c r="B946" s="12" t="s">
        <v>428</v>
      </c>
      <c r="C946" s="12">
        <v>70418</v>
      </c>
      <c r="D946" s="12" t="s">
        <v>952</v>
      </c>
      <c r="E946" s="17">
        <v>0.93764537849418483</v>
      </c>
      <c r="F946" s="17">
        <v>6.2354621505815139E-2</v>
      </c>
      <c r="G946" s="13">
        <v>0.98318889423848499</v>
      </c>
      <c r="H946" s="13">
        <v>15.027468933943753</v>
      </c>
      <c r="I946" s="14">
        <v>10.106673264509391</v>
      </c>
      <c r="J946" s="16">
        <v>0.95250000000000001</v>
      </c>
      <c r="K946" s="16">
        <v>0.95250000000000001</v>
      </c>
      <c r="L946" s="13">
        <v>0.51390000000000002</v>
      </c>
      <c r="M946" s="13">
        <v>0.03</v>
      </c>
      <c r="N946" s="13">
        <v>8.0799999999999997E-2</v>
      </c>
      <c r="O946" s="13">
        <v>6.2199999999999998E-2</v>
      </c>
      <c r="P946" s="16">
        <v>0.67209999999999992</v>
      </c>
      <c r="Q946" s="16">
        <v>0.49369999999999997</v>
      </c>
      <c r="R946" s="16">
        <v>0.64670000000000005</v>
      </c>
      <c r="S946" s="16">
        <f t="shared" si="30"/>
        <v>0.60416666666666663</v>
      </c>
      <c r="T946" s="18">
        <v>0.61378205128205099</v>
      </c>
      <c r="U946" s="1">
        <v>4.3859649120000004</v>
      </c>
      <c r="V946" s="1">
        <f t="shared" si="29"/>
        <v>1.6837964797005298</v>
      </c>
      <c r="W946" s="26"/>
      <c r="X946">
        <v>4.6199999999999998E-2</v>
      </c>
      <c r="Y946" s="1">
        <v>0.4748</v>
      </c>
      <c r="Z946" s="1">
        <v>0.38850000000000001</v>
      </c>
      <c r="AA946" s="1">
        <v>25570</v>
      </c>
      <c r="AB946" s="1">
        <v>228</v>
      </c>
      <c r="AC946" s="29">
        <v>5354</v>
      </c>
    </row>
    <row r="947" spans="1:29">
      <c r="A947" s="12">
        <v>70</v>
      </c>
      <c r="B947" s="12" t="s">
        <v>428</v>
      </c>
      <c r="C947" s="12">
        <v>70429</v>
      </c>
      <c r="D947" s="12" t="s">
        <v>953</v>
      </c>
      <c r="E947" s="17">
        <v>0.95578585328325116</v>
      </c>
      <c r="F947" s="17">
        <v>4.4214146716748878E-2</v>
      </c>
      <c r="G947" s="13">
        <v>1</v>
      </c>
      <c r="H947" s="13">
        <v>21.606138107416879</v>
      </c>
      <c r="I947" s="14">
        <v>10.696366939495048</v>
      </c>
      <c r="J947" s="16">
        <v>0.94930000000000003</v>
      </c>
      <c r="K947" s="16">
        <v>0.94910000000000005</v>
      </c>
      <c r="L947" s="13">
        <v>0.56220000000000003</v>
      </c>
      <c r="M947" s="13">
        <v>3.5999999999999997E-2</v>
      </c>
      <c r="N947" s="13">
        <v>8.3799999999999999E-2</v>
      </c>
      <c r="O947" s="13">
        <v>4.4999999999999998E-2</v>
      </c>
      <c r="P947" s="16">
        <v>0.63580000000000003</v>
      </c>
      <c r="Q947" s="16">
        <v>0.34840000000000004</v>
      </c>
      <c r="R947" s="16">
        <v>0.40600000000000003</v>
      </c>
      <c r="S947" s="16">
        <f t="shared" si="30"/>
        <v>0.46340000000000003</v>
      </c>
      <c r="T947" s="18">
        <v>0.65984519139009601</v>
      </c>
      <c r="U947" s="1">
        <v>2.2624434390000001</v>
      </c>
      <c r="V947" s="1">
        <f t="shared" si="29"/>
        <v>1.1824764357935487</v>
      </c>
      <c r="W947" s="25"/>
      <c r="X947">
        <v>2.4E-2</v>
      </c>
      <c r="Y947" s="1">
        <v>5.1799999999999999E-2</v>
      </c>
      <c r="Z947" s="1">
        <v>5.0500000000000003E-2</v>
      </c>
      <c r="AA947" s="1">
        <v>40125</v>
      </c>
      <c r="AB947" s="1">
        <v>442</v>
      </c>
      <c r="AC947" s="29">
        <v>9455</v>
      </c>
    </row>
    <row r="948" spans="1:29">
      <c r="A948" s="12">
        <v>70</v>
      </c>
      <c r="B948" s="12" t="s">
        <v>428</v>
      </c>
      <c r="C948" s="12">
        <v>70473</v>
      </c>
      <c r="D948" s="12" t="s">
        <v>954</v>
      </c>
      <c r="E948" s="17">
        <v>0.91291057633524153</v>
      </c>
      <c r="F948" s="17">
        <v>8.7089423664758511E-2</v>
      </c>
      <c r="G948" s="13">
        <v>1</v>
      </c>
      <c r="H948" s="13">
        <v>10.475765306122449</v>
      </c>
      <c r="I948" s="14">
        <v>9.7977936479770644</v>
      </c>
      <c r="J948" s="16">
        <v>0.7923</v>
      </c>
      <c r="K948" s="16">
        <v>0.7923</v>
      </c>
      <c r="L948" s="13">
        <v>0.24809999999999999</v>
      </c>
      <c r="M948" s="13">
        <v>1.6500000000000001E-2</v>
      </c>
      <c r="N948" s="13">
        <v>0.14069999999999999</v>
      </c>
      <c r="O948" s="13">
        <v>0.1308</v>
      </c>
      <c r="P948" s="16">
        <v>0.5585</v>
      </c>
      <c r="Q948" s="16">
        <v>0.47749999999999998</v>
      </c>
      <c r="R948" s="16">
        <v>0.51580000000000004</v>
      </c>
      <c r="S948" s="16">
        <f t="shared" si="30"/>
        <v>0.51726666666666665</v>
      </c>
      <c r="T948" s="18">
        <v>0.60681629260182801</v>
      </c>
      <c r="U948" s="1">
        <v>6.5789473679999997</v>
      </c>
      <c r="V948" s="1">
        <f t="shared" si="29"/>
        <v>2.0253743203540044</v>
      </c>
      <c r="W948" s="26"/>
      <c r="X948">
        <v>2.75E-2</v>
      </c>
      <c r="Y948" s="1">
        <v>0.81230000000000002</v>
      </c>
      <c r="Z948" s="1">
        <v>0.59460000000000002</v>
      </c>
      <c r="AA948" s="1">
        <v>17030</v>
      </c>
      <c r="AB948" s="1">
        <v>152</v>
      </c>
      <c r="AC948" s="29">
        <v>3602</v>
      </c>
    </row>
    <row r="949" spans="1:29">
      <c r="A949" s="12">
        <v>70</v>
      </c>
      <c r="B949" s="12" t="s">
        <v>428</v>
      </c>
      <c r="C949" s="12">
        <v>70508</v>
      </c>
      <c r="D949" s="12" t="s">
        <v>955</v>
      </c>
      <c r="E949" s="17">
        <v>0.91907619567194032</v>
      </c>
      <c r="F949" s="17">
        <v>8.0923804328059651E-2</v>
      </c>
      <c r="G949" s="13">
        <v>1</v>
      </c>
      <c r="H949" s="13">
        <v>11.352201257861635</v>
      </c>
      <c r="I949" s="14">
        <v>10.221795818529669</v>
      </c>
      <c r="J949" s="16">
        <v>1.0828</v>
      </c>
      <c r="K949" s="16">
        <v>1.0828</v>
      </c>
      <c r="L949" s="13">
        <v>0.57869999999999999</v>
      </c>
      <c r="M949" s="13">
        <v>3.5700000000000003E-2</v>
      </c>
      <c r="N949" s="13">
        <v>8.6499999999999994E-2</v>
      </c>
      <c r="O949" s="13">
        <v>6.93E-2</v>
      </c>
      <c r="P949" s="16">
        <v>1</v>
      </c>
      <c r="Q949" s="16">
        <v>0.71260000000000001</v>
      </c>
      <c r="R949" s="16">
        <v>0.72680000000000011</v>
      </c>
      <c r="S949" s="16">
        <f t="shared" si="30"/>
        <v>0.81313333333333337</v>
      </c>
      <c r="T949" s="18">
        <v>0.52150101419878192</v>
      </c>
      <c r="U949" s="1">
        <v>9.8522167490000001</v>
      </c>
      <c r="V949" s="1">
        <f t="shared" si="29"/>
        <v>2.3843693677818902</v>
      </c>
      <c r="W949" s="25"/>
      <c r="X949">
        <v>7.0199999999999999E-2</v>
      </c>
      <c r="Y949" s="1">
        <v>0.27489999999999998</v>
      </c>
      <c r="Z949" s="1">
        <v>0.24279999999999999</v>
      </c>
      <c r="AA949" s="1">
        <v>24462</v>
      </c>
      <c r="AB949" s="1">
        <v>203</v>
      </c>
      <c r="AC949" s="29">
        <v>5056</v>
      </c>
    </row>
    <row r="950" spans="1:29">
      <c r="A950" s="12">
        <v>70</v>
      </c>
      <c r="B950" s="12" t="s">
        <v>428</v>
      </c>
      <c r="C950" s="12">
        <v>70523</v>
      </c>
      <c r="D950" s="12" t="s">
        <v>956</v>
      </c>
      <c r="E950" s="17">
        <v>0.96091205211726383</v>
      </c>
      <c r="F950" s="17">
        <v>3.9087947882736153E-2</v>
      </c>
      <c r="G950" s="13">
        <v>0.87746290440282171</v>
      </c>
      <c r="H950" s="13">
        <v>24.539823008849556</v>
      </c>
      <c r="I950" s="14">
        <v>9.5770646517679161</v>
      </c>
      <c r="J950" s="16">
        <v>0.83420000000000005</v>
      </c>
      <c r="K950" s="16">
        <v>0.83420000000000005</v>
      </c>
      <c r="L950" s="13">
        <v>0.44969999999999999</v>
      </c>
      <c r="M950" s="13">
        <v>3.0800000000000001E-2</v>
      </c>
      <c r="N950" s="13">
        <v>8.8900000000000007E-2</v>
      </c>
      <c r="O950" s="13">
        <v>8.1500000000000003E-2</v>
      </c>
      <c r="P950" s="16">
        <v>0.76980000000000004</v>
      </c>
      <c r="Q950" s="16">
        <v>0.76980000000000004</v>
      </c>
      <c r="R950" s="16">
        <v>0.76980000000000004</v>
      </c>
      <c r="S950" s="16">
        <f t="shared" si="30"/>
        <v>0.76980000000000004</v>
      </c>
      <c r="T950" s="18">
        <v>0.41951391334977101</v>
      </c>
      <c r="U950" s="1">
        <v>14.08450704</v>
      </c>
      <c r="V950" s="1">
        <f t="shared" si="29"/>
        <v>2.7136681932570403</v>
      </c>
      <c r="W950" s="26"/>
      <c r="X950">
        <v>1.9400000000000001E-2</v>
      </c>
      <c r="Y950" s="1">
        <v>0.4</v>
      </c>
      <c r="Z950" s="1">
        <v>0.33650000000000002</v>
      </c>
      <c r="AA950" s="1">
        <v>16081</v>
      </c>
      <c r="AB950" s="1">
        <v>142</v>
      </c>
      <c r="AC950" s="29">
        <v>3943</v>
      </c>
    </row>
    <row r="951" spans="1:29">
      <c r="A951" s="12">
        <v>70</v>
      </c>
      <c r="B951" s="12" t="s">
        <v>428</v>
      </c>
      <c r="C951" s="12">
        <v>70670</v>
      </c>
      <c r="D951" s="12" t="s">
        <v>957</v>
      </c>
      <c r="E951" s="17">
        <v>0.94421199442119941</v>
      </c>
      <c r="F951" s="17">
        <v>5.5788005578800558E-2</v>
      </c>
      <c r="G951" s="13">
        <v>0.90253067052435798</v>
      </c>
      <c r="H951" s="13">
        <v>16.918687057068258</v>
      </c>
      <c r="I951" s="14">
        <v>10.77978927619392</v>
      </c>
      <c r="J951" s="16">
        <v>0.88560000000000005</v>
      </c>
      <c r="K951" s="16">
        <v>0.88460000000000005</v>
      </c>
      <c r="L951" s="13">
        <v>0.50270000000000004</v>
      </c>
      <c r="M951" s="13">
        <v>3.04E-2</v>
      </c>
      <c r="N951" s="13">
        <v>9.7799999999999998E-2</v>
      </c>
      <c r="O951" s="13">
        <v>8.1900000000000001E-2</v>
      </c>
      <c r="P951" s="16">
        <v>0.80680000000000007</v>
      </c>
      <c r="Q951" s="16">
        <v>0.61119999999999997</v>
      </c>
      <c r="R951" s="16">
        <v>0.5484</v>
      </c>
      <c r="S951" s="16">
        <f t="shared" si="30"/>
        <v>0.65546666666666675</v>
      </c>
      <c r="T951" s="18">
        <v>0.80623574144486598</v>
      </c>
      <c r="U951" s="1">
        <v>8.3857442350000007</v>
      </c>
      <c r="V951" s="1">
        <f t="shared" si="29"/>
        <v>2.2391919673738441</v>
      </c>
      <c r="W951" s="25"/>
      <c r="X951">
        <v>2.1700000000000001E-2</v>
      </c>
      <c r="Y951" s="1">
        <v>1.4490000000000001</v>
      </c>
      <c r="Z951" s="1">
        <v>0.89570000000000005</v>
      </c>
      <c r="AA951" s="1">
        <v>53083</v>
      </c>
      <c r="AB951" s="1">
        <v>477</v>
      </c>
      <c r="AC951" s="29">
        <v>12010</v>
      </c>
    </row>
    <row r="952" spans="1:29">
      <c r="A952" s="12">
        <v>70</v>
      </c>
      <c r="B952" s="12" t="s">
        <v>428</v>
      </c>
      <c r="C952" s="12">
        <v>70678</v>
      </c>
      <c r="D952" s="12" t="s">
        <v>958</v>
      </c>
      <c r="E952" s="17">
        <v>0.95958289885297188</v>
      </c>
      <c r="F952" s="17">
        <v>4.0417101147028157E-2</v>
      </c>
      <c r="G952" s="13">
        <v>0.76582763687472055</v>
      </c>
      <c r="H952" s="13">
        <v>23.717525773195877</v>
      </c>
      <c r="I952" s="14">
        <v>10.084808608996498</v>
      </c>
      <c r="J952" s="16">
        <v>0.75060000000000004</v>
      </c>
      <c r="K952" s="16">
        <v>0.75060000000000004</v>
      </c>
      <c r="L952" s="13">
        <v>0.28739999999999999</v>
      </c>
      <c r="M952" s="13">
        <v>3.1800000000000002E-2</v>
      </c>
      <c r="N952" s="13">
        <v>0.1293</v>
      </c>
      <c r="O952" s="13">
        <v>6.2199999999999998E-2</v>
      </c>
      <c r="P952" s="16">
        <v>0.5232</v>
      </c>
      <c r="Q952" s="16">
        <v>0</v>
      </c>
      <c r="R952" s="16">
        <v>0.23219999999999999</v>
      </c>
      <c r="S952" s="16">
        <f t="shared" si="30"/>
        <v>0.25179999999999997</v>
      </c>
      <c r="T952" s="18">
        <v>0.39941469759375603</v>
      </c>
      <c r="U952" s="1">
        <v>8.0645161289999994</v>
      </c>
      <c r="V952" s="1">
        <f t="shared" si="29"/>
        <v>2.2043674648450406</v>
      </c>
      <c r="W952" s="26"/>
      <c r="X952">
        <v>2.0199999999999999E-2</v>
      </c>
      <c r="Y952" s="1">
        <v>6.0699999999999997E-2</v>
      </c>
      <c r="Z952" s="1">
        <v>5.8900000000000001E-2</v>
      </c>
      <c r="AA952" s="1">
        <v>31892</v>
      </c>
      <c r="AB952" s="1">
        <v>248</v>
      </c>
      <c r="AC952" s="29">
        <v>7562</v>
      </c>
    </row>
    <row r="953" spans="1:29">
      <c r="A953" s="12">
        <v>70</v>
      </c>
      <c r="B953" s="12" t="s">
        <v>428</v>
      </c>
      <c r="C953" s="12">
        <v>70702</v>
      </c>
      <c r="D953" s="12" t="s">
        <v>959</v>
      </c>
      <c r="E953" s="17">
        <v>0.92272822372550389</v>
      </c>
      <c r="F953" s="17">
        <v>7.7271776274496135E-2</v>
      </c>
      <c r="G953" s="13">
        <v>0.99053605968499581</v>
      </c>
      <c r="H953" s="13">
        <v>11.930568079350767</v>
      </c>
      <c r="I953" s="14">
        <v>9.5708081141536105</v>
      </c>
      <c r="J953" s="16">
        <v>0.88160000000000005</v>
      </c>
      <c r="K953" s="16">
        <v>0.88119999999999998</v>
      </c>
      <c r="L953" s="13">
        <v>0.46820000000000001</v>
      </c>
      <c r="M953" s="13">
        <v>1.9900000000000001E-2</v>
      </c>
      <c r="N953" s="13">
        <v>8.8700000000000001E-2</v>
      </c>
      <c r="O953" s="13">
        <v>6.6600000000000006E-2</v>
      </c>
      <c r="P953" s="16">
        <v>0.93940000000000001</v>
      </c>
      <c r="Q953" s="16">
        <v>0.71499999999999997</v>
      </c>
      <c r="R953" s="16">
        <v>0.91790000000000005</v>
      </c>
      <c r="S953" s="16">
        <f t="shared" si="30"/>
        <v>0.85743333333333327</v>
      </c>
      <c r="T953" s="18">
        <v>0.72646686365555102</v>
      </c>
      <c r="U953" s="1">
        <v>9.2592592590000002</v>
      </c>
      <c r="V953" s="1">
        <f t="shared" si="29"/>
        <v>2.3281806401577385</v>
      </c>
      <c r="W953" s="25"/>
      <c r="X953">
        <v>2.1600000000000001E-2</v>
      </c>
      <c r="Y953" s="1">
        <v>0.44219999999999998</v>
      </c>
      <c r="Z953" s="1">
        <v>0.36620000000000003</v>
      </c>
      <c r="AA953" s="1">
        <v>14694</v>
      </c>
      <c r="AB953" s="1">
        <v>108</v>
      </c>
      <c r="AC953" s="29">
        <v>2948</v>
      </c>
    </row>
    <row r="954" spans="1:29">
      <c r="A954" s="12">
        <v>70</v>
      </c>
      <c r="B954" s="12" t="s">
        <v>428</v>
      </c>
      <c r="C954" s="12">
        <v>70708</v>
      </c>
      <c r="D954" s="12" t="s">
        <v>960</v>
      </c>
      <c r="E954" s="17">
        <v>0.91627323090358326</v>
      </c>
      <c r="F954" s="17">
        <v>8.3726769096416784E-2</v>
      </c>
      <c r="G954" s="13">
        <v>1</v>
      </c>
      <c r="H954" s="13">
        <v>10.941828254847646</v>
      </c>
      <c r="I954" s="14">
        <v>11.20213851880335</v>
      </c>
      <c r="J954" s="16">
        <v>0.87319999999999998</v>
      </c>
      <c r="K954" s="16">
        <v>0.87309999999999999</v>
      </c>
      <c r="L954" s="13">
        <v>0.44729999999999998</v>
      </c>
      <c r="M954" s="13">
        <v>5.0299999999999997E-2</v>
      </c>
      <c r="N954" s="13">
        <v>0.1144</v>
      </c>
      <c r="O954" s="13">
        <v>0.08</v>
      </c>
      <c r="P954" s="16">
        <v>0.46939999999999998</v>
      </c>
      <c r="Q954" s="16">
        <v>0.27229999999999999</v>
      </c>
      <c r="R954" s="16">
        <v>0.5847</v>
      </c>
      <c r="S954" s="16">
        <f t="shared" si="30"/>
        <v>0.44213333333333332</v>
      </c>
      <c r="T954" s="18">
        <v>0.758775877587758</v>
      </c>
      <c r="U954" s="1">
        <v>8.6330935249999996</v>
      </c>
      <c r="V954" s="1">
        <f t="shared" si="29"/>
        <v>2.2652044125418103</v>
      </c>
      <c r="W954" s="26"/>
      <c r="X954">
        <v>7.7499999999999999E-2</v>
      </c>
      <c r="Y954" s="1">
        <v>0.3</v>
      </c>
      <c r="Z954" s="1">
        <v>0.26240000000000002</v>
      </c>
      <c r="AA954" s="1">
        <v>64076</v>
      </c>
      <c r="AB954" s="1">
        <v>695</v>
      </c>
      <c r="AC954" s="29">
        <v>15137</v>
      </c>
    </row>
    <row r="955" spans="1:29">
      <c r="A955" s="12">
        <v>70</v>
      </c>
      <c r="B955" s="12" t="s">
        <v>428</v>
      </c>
      <c r="C955" s="12">
        <v>70713</v>
      </c>
      <c r="D955" s="12" t="s">
        <v>961</v>
      </c>
      <c r="E955" s="17">
        <v>0.9336708699528723</v>
      </c>
      <c r="F955" s="17">
        <v>6.632913004712776E-2</v>
      </c>
      <c r="G955" s="13">
        <v>1</v>
      </c>
      <c r="H955" s="13">
        <v>14.072954163666907</v>
      </c>
      <c r="I955" s="14">
        <v>11.047853654290003</v>
      </c>
      <c r="J955" s="16">
        <v>0.8306</v>
      </c>
      <c r="K955" s="16">
        <v>0.83020000000000005</v>
      </c>
      <c r="L955" s="13">
        <v>0.33200000000000002</v>
      </c>
      <c r="M955" s="13">
        <v>3.1300000000000001E-2</v>
      </c>
      <c r="N955" s="13">
        <v>0.1381</v>
      </c>
      <c r="O955" s="13">
        <v>8.5800000000000001E-2</v>
      </c>
      <c r="P955" s="16">
        <v>0.54600000000000004</v>
      </c>
      <c r="Q955" s="16">
        <v>0.48869999999999997</v>
      </c>
      <c r="R955" s="16">
        <v>0.43259999999999998</v>
      </c>
      <c r="S955" s="16">
        <f t="shared" si="30"/>
        <v>0.48909999999999992</v>
      </c>
      <c r="T955" s="18">
        <v>0.41836566918776696</v>
      </c>
      <c r="U955" s="1">
        <v>20.29520295</v>
      </c>
      <c r="V955" s="1">
        <f t="shared" si="29"/>
        <v>3.0584818337359616</v>
      </c>
      <c r="W955" s="25"/>
      <c r="X955">
        <v>3.2199999999999999E-2</v>
      </c>
      <c r="Y955" s="1">
        <v>0.17649999999999999</v>
      </c>
      <c r="Z955" s="1">
        <v>0.16259999999999999</v>
      </c>
      <c r="AA955" s="1">
        <v>52983</v>
      </c>
      <c r="AB955" s="1">
        <v>542</v>
      </c>
      <c r="AC955" s="29">
        <v>13558</v>
      </c>
    </row>
    <row r="956" spans="1:29">
      <c r="A956" s="12">
        <v>70</v>
      </c>
      <c r="B956" s="12" t="s">
        <v>428</v>
      </c>
      <c r="C956" s="12">
        <v>70717</v>
      </c>
      <c r="D956" s="12" t="s">
        <v>108</v>
      </c>
      <c r="E956" s="17">
        <v>0.9223775209169609</v>
      </c>
      <c r="F956" s="17">
        <v>7.7622479083039125E-2</v>
      </c>
      <c r="G956" s="13">
        <v>1</v>
      </c>
      <c r="H956" s="13">
        <v>11.875466998754669</v>
      </c>
      <c r="I956" s="14">
        <v>9.9368256121466381</v>
      </c>
      <c r="J956" s="16">
        <v>0.87460000000000004</v>
      </c>
      <c r="K956" s="16">
        <v>0.87460000000000004</v>
      </c>
      <c r="L956" s="13">
        <v>0.42959999999999998</v>
      </c>
      <c r="M956" s="13">
        <v>2.7799999999999998E-2</v>
      </c>
      <c r="N956" s="13">
        <v>9.2200000000000004E-2</v>
      </c>
      <c r="O956" s="13">
        <v>6.0499999999999998E-2</v>
      </c>
      <c r="P956" s="16">
        <v>0</v>
      </c>
      <c r="Q956" s="16">
        <v>0</v>
      </c>
      <c r="R956" s="16">
        <v>0</v>
      </c>
      <c r="S956" s="16">
        <f t="shared" si="30"/>
        <v>0</v>
      </c>
      <c r="T956" s="18">
        <v>0.83477135461604801</v>
      </c>
      <c r="U956" s="1">
        <v>0</v>
      </c>
      <c r="V956" s="1">
        <f t="shared" si="29"/>
        <v>0</v>
      </c>
      <c r="W956" s="26"/>
      <c r="X956">
        <v>2.64E-2</v>
      </c>
      <c r="Y956" s="1">
        <v>0.53149999999999997</v>
      </c>
      <c r="Z956" s="1">
        <v>0.42630000000000001</v>
      </c>
      <c r="AA956" s="1">
        <v>20760</v>
      </c>
      <c r="AB956" s="1">
        <v>191</v>
      </c>
      <c r="AC956" s="29">
        <v>4381</v>
      </c>
    </row>
    <row r="957" spans="1:29">
      <c r="A957" s="12">
        <v>70</v>
      </c>
      <c r="B957" s="12" t="s">
        <v>428</v>
      </c>
      <c r="C957" s="12">
        <v>70742</v>
      </c>
      <c r="D957" s="12" t="s">
        <v>962</v>
      </c>
      <c r="E957" s="17">
        <v>0.93757830117764973</v>
      </c>
      <c r="F957" s="17">
        <v>6.242169882235029E-2</v>
      </c>
      <c r="G957" s="13">
        <v>0.95507029614119054</v>
      </c>
      <c r="H957" s="13">
        <v>15.012537612838516</v>
      </c>
      <c r="I957" s="14">
        <v>10.371269966709153</v>
      </c>
      <c r="J957" s="16">
        <v>0.84319999999999995</v>
      </c>
      <c r="K957" s="16">
        <v>0.84289999999999998</v>
      </c>
      <c r="L957" s="13">
        <v>0.39750000000000002</v>
      </c>
      <c r="M957" s="13">
        <v>2.8299999999999999E-2</v>
      </c>
      <c r="N957" s="13">
        <v>0.1182</v>
      </c>
      <c r="O957" s="13">
        <v>8.6199999999999999E-2</v>
      </c>
      <c r="P957" s="16">
        <v>0</v>
      </c>
      <c r="Q957" s="16">
        <v>0</v>
      </c>
      <c r="R957" s="16">
        <v>0</v>
      </c>
      <c r="S957" s="16">
        <f t="shared" si="30"/>
        <v>0</v>
      </c>
      <c r="T957" s="18">
        <v>0.47246464038519398</v>
      </c>
      <c r="U957" s="1">
        <v>8.1632653059999996</v>
      </c>
      <c r="V957" s="1">
        <f t="shared" si="29"/>
        <v>2.2152025896182646</v>
      </c>
      <c r="W957" s="25"/>
      <c r="X957">
        <v>3.1399999999999997E-2</v>
      </c>
      <c r="Y957" s="1">
        <v>0.29959999999999998</v>
      </c>
      <c r="Z957" s="1">
        <v>0.2621</v>
      </c>
      <c r="AA957" s="1">
        <v>32683</v>
      </c>
      <c r="AB957" s="1">
        <v>245</v>
      </c>
      <c r="AC957" s="29">
        <v>6667</v>
      </c>
    </row>
    <row r="958" spans="1:29">
      <c r="A958" s="12">
        <v>70</v>
      </c>
      <c r="B958" s="12" t="s">
        <v>428</v>
      </c>
      <c r="C958" s="12">
        <v>70771</v>
      </c>
      <c r="D958" s="12" t="s">
        <v>428</v>
      </c>
      <c r="E958" s="17">
        <v>0.96102680932427487</v>
      </c>
      <c r="F958" s="17">
        <v>3.8973190675725154E-2</v>
      </c>
      <c r="G958" s="13">
        <v>0.74526271109359365</v>
      </c>
      <c r="H958" s="13">
        <v>24.632950990615225</v>
      </c>
      <c r="I958" s="14">
        <v>10.109769746774926</v>
      </c>
      <c r="J958" s="16">
        <v>0.68779999999999997</v>
      </c>
      <c r="K958" s="16">
        <v>0.68779999999999997</v>
      </c>
      <c r="L958" s="13">
        <v>0.21640000000000001</v>
      </c>
      <c r="M958" s="13">
        <v>2.4799999999999999E-2</v>
      </c>
      <c r="N958" s="13">
        <v>0.1046</v>
      </c>
      <c r="O958" s="13">
        <v>5.8799999999999998E-2</v>
      </c>
      <c r="P958" s="16">
        <v>0</v>
      </c>
      <c r="Q958" s="16">
        <v>0</v>
      </c>
      <c r="R958" s="16">
        <v>0</v>
      </c>
      <c r="S958" s="16">
        <f t="shared" si="30"/>
        <v>0</v>
      </c>
      <c r="T958" s="18">
        <v>0.53771260997067405</v>
      </c>
      <c r="U958" s="1">
        <v>15.46391753</v>
      </c>
      <c r="V958" s="1">
        <f t="shared" si="29"/>
        <v>2.8011711699683608</v>
      </c>
      <c r="W958" s="25"/>
      <c r="X958">
        <v>1.29E-2</v>
      </c>
      <c r="Y958" s="1">
        <v>2.07E-2</v>
      </c>
      <c r="Z958" s="1">
        <v>2.0500000000000001E-2</v>
      </c>
      <c r="AA958" s="1">
        <v>33442</v>
      </c>
      <c r="AB958" s="1">
        <v>194</v>
      </c>
      <c r="AC958" s="29">
        <v>7402</v>
      </c>
    </row>
    <row r="959" spans="1:29">
      <c r="A959" s="12">
        <v>70</v>
      </c>
      <c r="B959" s="12" t="s">
        <v>428</v>
      </c>
      <c r="C959" s="12">
        <v>70820</v>
      </c>
      <c r="D959" s="12" t="s">
        <v>964</v>
      </c>
      <c r="E959" s="17">
        <v>0.77556294779938584</v>
      </c>
      <c r="F959" s="17">
        <v>0.22443705220061413</v>
      </c>
      <c r="G959" s="13">
        <v>1</v>
      </c>
      <c r="H959" s="13">
        <v>3.4551983584131327</v>
      </c>
      <c r="I959" s="14">
        <v>10.573391694365673</v>
      </c>
      <c r="J959" s="16">
        <v>0.91739999999999999</v>
      </c>
      <c r="K959" s="16">
        <v>0.91690000000000005</v>
      </c>
      <c r="L959" s="13">
        <v>0.39950000000000002</v>
      </c>
      <c r="M959" s="13">
        <v>2.6700000000000002E-2</v>
      </c>
      <c r="N959" s="13">
        <v>0.12470000000000001</v>
      </c>
      <c r="O959" s="13">
        <v>8.2000000000000003E-2</v>
      </c>
      <c r="P959" s="16">
        <v>0.87319999999999998</v>
      </c>
      <c r="Q959" s="16">
        <v>0.81640000000000001</v>
      </c>
      <c r="R959" s="16">
        <v>0.97439999999999993</v>
      </c>
      <c r="S959" s="16">
        <f t="shared" si="30"/>
        <v>0.8879999999999999</v>
      </c>
      <c r="T959" s="18">
        <v>8.08174640037157E-2</v>
      </c>
      <c r="U959" s="1">
        <v>10.178117050000001</v>
      </c>
      <c r="V959" s="1">
        <f t="shared" si="29"/>
        <v>2.4139580322544809</v>
      </c>
      <c r="W959" s="26"/>
      <c r="X959">
        <v>0.1081</v>
      </c>
      <c r="Y959" s="1">
        <v>0.78759999999999997</v>
      </c>
      <c r="Z959" s="1">
        <v>0.58089999999999997</v>
      </c>
      <c r="AA959" s="1">
        <v>37512</v>
      </c>
      <c r="AB959" s="1">
        <v>393</v>
      </c>
      <c r="AC959" s="29">
        <v>8742</v>
      </c>
    </row>
    <row r="960" spans="1:29">
      <c r="A960" s="12">
        <v>70</v>
      </c>
      <c r="B960" s="12" t="s">
        <v>428</v>
      </c>
      <c r="C960" s="12">
        <v>70823</v>
      </c>
      <c r="D960" s="12" t="s">
        <v>965</v>
      </c>
      <c r="E960" s="17">
        <v>0.89918374435567905</v>
      </c>
      <c r="F960" s="17">
        <v>0.10081625564432095</v>
      </c>
      <c r="G960" s="13">
        <v>0.9848206268439732</v>
      </c>
      <c r="H960" s="13">
        <v>8.9151958674128284</v>
      </c>
      <c r="I960" s="14">
        <v>10.044683249202905</v>
      </c>
      <c r="J960" s="16">
        <v>0.92789999999999995</v>
      </c>
      <c r="K960" s="16">
        <v>0.92789999999999995</v>
      </c>
      <c r="L960" s="13">
        <v>0.47249999999999998</v>
      </c>
      <c r="M960" s="13">
        <v>3.2000000000000001E-2</v>
      </c>
      <c r="N960" s="13">
        <v>0.1232</v>
      </c>
      <c r="O960" s="13">
        <v>8.2500000000000004E-2</v>
      </c>
      <c r="P960" s="16">
        <v>0.99939999999999996</v>
      </c>
      <c r="Q960" s="16">
        <v>0.87</v>
      </c>
      <c r="R960" s="16">
        <v>0.99939999999999996</v>
      </c>
      <c r="S960" s="16">
        <f t="shared" si="30"/>
        <v>0.9562666666666666</v>
      </c>
      <c r="T960" s="18">
        <v>0.72307971672416893</v>
      </c>
      <c r="U960" s="1">
        <v>5.6818181819999998</v>
      </c>
      <c r="V960" s="1">
        <f t="shared" si="29"/>
        <v>1.8993901334476313</v>
      </c>
      <c r="W960" s="25"/>
      <c r="X960">
        <v>0.19539999999999999</v>
      </c>
      <c r="Y960" s="1">
        <v>0.76419999999999999</v>
      </c>
      <c r="Z960" s="1">
        <v>0.56769999999999998</v>
      </c>
      <c r="AA960" s="1">
        <v>23190</v>
      </c>
      <c r="AB960" s="1">
        <v>176</v>
      </c>
      <c r="AC960" s="29">
        <v>5098</v>
      </c>
    </row>
    <row r="961" spans="1:29">
      <c r="A961" s="12">
        <v>73</v>
      </c>
      <c r="B961" s="12" t="s">
        <v>966</v>
      </c>
      <c r="C961" s="12">
        <v>73001</v>
      </c>
      <c r="D961" s="12" t="s">
        <v>988</v>
      </c>
      <c r="E961" s="17">
        <v>0.44881495780849512</v>
      </c>
      <c r="F961" s="17">
        <v>0.5511705156596014</v>
      </c>
      <c r="G961" s="13">
        <v>1</v>
      </c>
      <c r="H961" s="13">
        <v>0.81429182211653905</v>
      </c>
      <c r="I961" s="14">
        <v>13.336759985503933</v>
      </c>
      <c r="J961" s="16">
        <v>1.089</v>
      </c>
      <c r="K961" s="16">
        <v>1.0871</v>
      </c>
      <c r="L961" s="13">
        <v>0.61699999999999999</v>
      </c>
      <c r="M961" s="13">
        <v>4.1799999999999997E-2</v>
      </c>
      <c r="N961" s="13">
        <v>7.6899999999999996E-2</v>
      </c>
      <c r="O961" s="13">
        <v>6.6400000000000001E-2</v>
      </c>
      <c r="P961" s="16">
        <v>0</v>
      </c>
      <c r="Q961" s="16">
        <v>0</v>
      </c>
      <c r="R961" s="16"/>
      <c r="S961" s="16">
        <f t="shared" si="30"/>
        <v>0</v>
      </c>
      <c r="T961" s="18">
        <v>1</v>
      </c>
      <c r="U961" s="1">
        <v>5.836139169</v>
      </c>
      <c r="V961" s="1">
        <f t="shared" si="29"/>
        <v>1.922223123296557</v>
      </c>
      <c r="W961" s="25"/>
      <c r="X961">
        <v>0.2339</v>
      </c>
      <c r="Y961" s="1">
        <v>1.9221999999999999</v>
      </c>
      <c r="Z961" s="1">
        <v>1.0723</v>
      </c>
      <c r="AA961" s="1">
        <v>552035</v>
      </c>
      <c r="AB961" s="1">
        <v>4455</v>
      </c>
      <c r="AC961" s="29">
        <v>90036</v>
      </c>
    </row>
    <row r="962" spans="1:29">
      <c r="A962" s="12">
        <v>73</v>
      </c>
      <c r="B962" s="12" t="s">
        <v>966</v>
      </c>
      <c r="C962" s="12">
        <v>73024</v>
      </c>
      <c r="D962" s="12" t="s">
        <v>967</v>
      </c>
      <c r="E962" s="17">
        <v>0.87652716402391473</v>
      </c>
      <c r="F962" s="17">
        <v>0.12347283597608526</v>
      </c>
      <c r="G962" s="13">
        <v>0.81177463599915589</v>
      </c>
      <c r="H962" s="13">
        <v>7.0840336134453779</v>
      </c>
      <c r="I962" s="14">
        <v>8.2553088117855964</v>
      </c>
      <c r="J962" s="16">
        <v>0.76970000000000005</v>
      </c>
      <c r="K962" s="16">
        <v>0.76970000000000005</v>
      </c>
      <c r="L962" s="13">
        <v>0.4375</v>
      </c>
      <c r="M962" s="13">
        <v>2.7300000000000001E-2</v>
      </c>
      <c r="N962" s="13">
        <v>5.91E-2</v>
      </c>
      <c r="O962" s="13">
        <v>3.1800000000000002E-2</v>
      </c>
      <c r="P962" s="16">
        <v>0.47270000000000001</v>
      </c>
      <c r="Q962" s="16">
        <v>0.47270000000000001</v>
      </c>
      <c r="R962" s="16">
        <v>0.47270000000000001</v>
      </c>
      <c r="S962" s="16">
        <f t="shared" si="30"/>
        <v>0.47269999999999995</v>
      </c>
      <c r="T962" s="18">
        <v>0.70160810005955898</v>
      </c>
      <c r="U962" s="1">
        <v>0</v>
      </c>
      <c r="V962" s="1">
        <f t="shared" ref="V962:V1025" si="31">LN(U962+1)</f>
        <v>0</v>
      </c>
      <c r="W962" s="26"/>
      <c r="X962">
        <v>7.8399999999999997E-2</v>
      </c>
      <c r="Y962" s="1">
        <v>4.7E-2</v>
      </c>
      <c r="Z962" s="1">
        <v>4.5900000000000003E-2</v>
      </c>
      <c r="AA962" s="1">
        <v>4807</v>
      </c>
      <c r="AB962" s="1">
        <v>22</v>
      </c>
      <c r="AC962" s="29">
        <v>920</v>
      </c>
    </row>
    <row r="963" spans="1:29">
      <c r="A963" s="12">
        <v>73</v>
      </c>
      <c r="B963" s="12" t="s">
        <v>966</v>
      </c>
      <c r="C963" s="12">
        <v>73026</v>
      </c>
      <c r="D963" s="12" t="s">
        <v>968</v>
      </c>
      <c r="E963" s="17">
        <v>0.81833683105981114</v>
      </c>
      <c r="F963" s="17">
        <v>0.18166316894018888</v>
      </c>
      <c r="G963" s="13">
        <v>0.81679880008570815</v>
      </c>
      <c r="H963" s="13">
        <v>4.5014430014430014</v>
      </c>
      <c r="I963" s="14">
        <v>8.9391876014756129</v>
      </c>
      <c r="J963" s="16">
        <v>0.76439999999999997</v>
      </c>
      <c r="K963" s="16">
        <v>0.76439999999999997</v>
      </c>
      <c r="L963" s="13">
        <v>0.33450000000000002</v>
      </c>
      <c r="M963" s="13">
        <v>3.5999999999999997E-2</v>
      </c>
      <c r="N963" s="13">
        <v>0.1051</v>
      </c>
      <c r="O963" s="13">
        <v>9.9699999999999997E-2</v>
      </c>
      <c r="P963" s="16">
        <v>1</v>
      </c>
      <c r="Q963" s="16">
        <v>0.96129999999999993</v>
      </c>
      <c r="R963" s="16">
        <v>1</v>
      </c>
      <c r="S963" s="16">
        <f t="shared" si="30"/>
        <v>0.98709999999999998</v>
      </c>
      <c r="T963" s="18">
        <v>0.86572598998634509</v>
      </c>
      <c r="U963" s="1">
        <v>17.85714286</v>
      </c>
      <c r="V963" s="1">
        <f t="shared" si="31"/>
        <v>2.9368917736825728</v>
      </c>
      <c r="W963" s="25"/>
      <c r="X963">
        <v>0.20230000000000001</v>
      </c>
      <c r="Y963" s="1">
        <v>0.23949999999999999</v>
      </c>
      <c r="Z963" s="1">
        <v>0.2147</v>
      </c>
      <c r="AA963" s="1">
        <v>8855</v>
      </c>
      <c r="AB963" s="1">
        <v>56</v>
      </c>
      <c r="AC963" s="29">
        <v>1593</v>
      </c>
    </row>
    <row r="964" spans="1:29">
      <c r="A964" s="12">
        <v>73</v>
      </c>
      <c r="B964" s="12" t="s">
        <v>966</v>
      </c>
      <c r="C964" s="12">
        <v>73030</v>
      </c>
      <c r="D964" s="12" t="s">
        <v>969</v>
      </c>
      <c r="E964" s="17">
        <v>0.77572317832295867</v>
      </c>
      <c r="F964" s="17">
        <v>0.22427682167704138</v>
      </c>
      <c r="G964" s="13">
        <v>0.79159420289855076</v>
      </c>
      <c r="H964" s="13">
        <v>3.4559543230016314</v>
      </c>
      <c r="I964" s="14">
        <v>8.6057533683957175</v>
      </c>
      <c r="J964" s="16">
        <v>0.66669999999999996</v>
      </c>
      <c r="K964" s="16">
        <v>0.66669999999999996</v>
      </c>
      <c r="L964" s="13">
        <v>0.35239999999999999</v>
      </c>
      <c r="M964" s="13">
        <v>3.1800000000000002E-2</v>
      </c>
      <c r="N964" s="13">
        <v>5.5399999999999998E-2</v>
      </c>
      <c r="O964" s="13">
        <v>9.1899999999999996E-2</v>
      </c>
      <c r="P964" s="16">
        <v>0.82090000000000007</v>
      </c>
      <c r="Q964" s="16">
        <v>0.77950000000000008</v>
      </c>
      <c r="R964" s="16">
        <v>0.67849999999999999</v>
      </c>
      <c r="S964" s="16">
        <f t="shared" si="30"/>
        <v>0.75963333333333338</v>
      </c>
      <c r="T964" s="18">
        <v>0.44618215271389094</v>
      </c>
      <c r="U964" s="1">
        <v>34.482758619999998</v>
      </c>
      <c r="V964" s="1">
        <f t="shared" si="31"/>
        <v>3.5690469058281393</v>
      </c>
      <c r="W964" s="26"/>
      <c r="X964">
        <v>0.1142</v>
      </c>
      <c r="Y964" s="1">
        <v>0.1545</v>
      </c>
      <c r="Z964" s="1">
        <v>0.14369999999999999</v>
      </c>
      <c r="AA964" s="1">
        <v>6761</v>
      </c>
      <c r="AB964" s="1">
        <v>29</v>
      </c>
      <c r="AC964" s="29">
        <v>1199</v>
      </c>
    </row>
    <row r="965" spans="1:29">
      <c r="A965" s="12">
        <v>73</v>
      </c>
      <c r="B965" s="12" t="s">
        <v>966</v>
      </c>
      <c r="C965" s="12">
        <v>73043</v>
      </c>
      <c r="D965" s="12" t="s">
        <v>970</v>
      </c>
      <c r="E965" s="17">
        <v>0.9509183980728696</v>
      </c>
      <c r="F965" s="17">
        <v>4.9081601927130382E-2</v>
      </c>
      <c r="G965" s="13">
        <v>0.94088204740768722</v>
      </c>
      <c r="H965" s="13">
        <v>19.334693877551022</v>
      </c>
      <c r="I965" s="14">
        <v>9.2067338763820707</v>
      </c>
      <c r="J965" s="16">
        <v>0.74170000000000003</v>
      </c>
      <c r="K965" s="16">
        <v>0.74170000000000003</v>
      </c>
      <c r="L965" s="13">
        <v>0.34310000000000002</v>
      </c>
      <c r="M965" s="13">
        <v>3.2800000000000003E-2</v>
      </c>
      <c r="N965" s="13">
        <v>7.4999999999999997E-2</v>
      </c>
      <c r="O965" s="13">
        <v>4.4499999999999998E-2</v>
      </c>
      <c r="P965" s="16">
        <v>0.97120000000000006</v>
      </c>
      <c r="Q965" s="16">
        <v>0.44490000000000002</v>
      </c>
      <c r="R965" s="16">
        <v>0.60420000000000007</v>
      </c>
      <c r="S965" s="16">
        <f t="shared" si="30"/>
        <v>0.67343333333333344</v>
      </c>
      <c r="T965" s="18">
        <v>0.84663588390501299</v>
      </c>
      <c r="U965" s="1">
        <v>0</v>
      </c>
      <c r="V965" s="1">
        <f t="shared" si="31"/>
        <v>0</v>
      </c>
      <c r="W965" s="25"/>
      <c r="X965">
        <v>2.75E-2</v>
      </c>
      <c r="Y965" s="1">
        <v>7.0900000000000005E-2</v>
      </c>
      <c r="Z965" s="1">
        <v>6.8500000000000005E-2</v>
      </c>
      <c r="AA965" s="1">
        <v>10590</v>
      </c>
      <c r="AB965" s="1">
        <v>74</v>
      </c>
      <c r="AC965" s="29">
        <v>2308</v>
      </c>
    </row>
    <row r="966" spans="1:29">
      <c r="A966" s="12">
        <v>73</v>
      </c>
      <c r="B966" s="12" t="s">
        <v>966</v>
      </c>
      <c r="C966" s="12">
        <v>73055</v>
      </c>
      <c r="D966" s="12" t="s">
        <v>985</v>
      </c>
      <c r="E966" s="17">
        <v>0.77308568424741542</v>
      </c>
      <c r="F966" s="17">
        <v>0.22691431575258456</v>
      </c>
      <c r="G966" s="13">
        <v>0.84279701690910436</v>
      </c>
      <c r="H966" s="13">
        <v>3.4056348900038595</v>
      </c>
      <c r="I966" s="14">
        <v>9.3426835589638966</v>
      </c>
      <c r="J966" s="16">
        <v>0.88419999999999999</v>
      </c>
      <c r="K966" s="16">
        <v>0.88419999999999999</v>
      </c>
      <c r="L966" s="13">
        <v>0.47699999999999998</v>
      </c>
      <c r="M966" s="13">
        <v>2.69E-2</v>
      </c>
      <c r="N966" s="13">
        <v>5.8700000000000002E-2</v>
      </c>
      <c r="O966" s="13">
        <v>3.6700000000000003E-2</v>
      </c>
      <c r="P966" s="16">
        <v>1</v>
      </c>
      <c r="Q966" s="16">
        <v>0.98450000000000004</v>
      </c>
      <c r="R966" s="16">
        <v>0.95200000000000007</v>
      </c>
      <c r="S966" s="16">
        <f t="shared" si="30"/>
        <v>0.97883333333333333</v>
      </c>
      <c r="T966" s="18">
        <v>1</v>
      </c>
      <c r="U966" s="1">
        <v>12.04819277</v>
      </c>
      <c r="V966" s="1">
        <f t="shared" si="31"/>
        <v>2.5686496391212903</v>
      </c>
      <c r="W966" s="26"/>
      <c r="X966">
        <v>0.10390000000000001</v>
      </c>
      <c r="Y966" s="1">
        <v>0.15210000000000001</v>
      </c>
      <c r="Z966" s="1">
        <v>0.1416</v>
      </c>
      <c r="AA966" s="1">
        <v>12831</v>
      </c>
      <c r="AB966" s="1">
        <v>83</v>
      </c>
      <c r="AC966" s="29">
        <v>2172</v>
      </c>
    </row>
    <row r="967" spans="1:29">
      <c r="A967" s="12">
        <v>73</v>
      </c>
      <c r="B967" s="12" t="s">
        <v>966</v>
      </c>
      <c r="C967" s="12">
        <v>73067</v>
      </c>
      <c r="D967" s="12" t="s">
        <v>971</v>
      </c>
      <c r="E967" s="17">
        <v>0.94704520285915639</v>
      </c>
      <c r="F967" s="17">
        <v>5.2954797140843654E-2</v>
      </c>
      <c r="G967" s="13">
        <v>0.98757208192483592</v>
      </c>
      <c r="H967" s="13">
        <v>17.8670465337132</v>
      </c>
      <c r="I967" s="14">
        <v>9.896815342768063</v>
      </c>
      <c r="J967" s="16">
        <v>0.96809999999999996</v>
      </c>
      <c r="K967" s="16">
        <v>0.96809999999999996</v>
      </c>
      <c r="L967" s="13">
        <v>0.40560000000000002</v>
      </c>
      <c r="M967" s="13">
        <v>3.6600000000000001E-2</v>
      </c>
      <c r="N967" s="13">
        <v>7.0099999999999996E-2</v>
      </c>
      <c r="O967" s="13">
        <v>5.9200000000000003E-2</v>
      </c>
      <c r="P967" s="16">
        <v>0.34079999999999999</v>
      </c>
      <c r="Q967" s="16">
        <v>0.26550000000000001</v>
      </c>
      <c r="R967" s="16">
        <v>0.3145</v>
      </c>
      <c r="S967" s="16">
        <f t="shared" si="30"/>
        <v>0.30693333333333334</v>
      </c>
      <c r="T967" s="18">
        <v>0.82879439401178501</v>
      </c>
      <c r="U967" s="1">
        <v>15.54404145</v>
      </c>
      <c r="V967" s="1">
        <f t="shared" si="31"/>
        <v>2.806026003762919</v>
      </c>
      <c r="W967" s="26"/>
      <c r="X967">
        <v>5.2299999999999999E-2</v>
      </c>
      <c r="Y967" s="1">
        <v>2.46E-2</v>
      </c>
      <c r="Z967" s="1">
        <v>2.4299999999999999E-2</v>
      </c>
      <c r="AA967" s="1">
        <v>20279</v>
      </c>
      <c r="AB967" s="1">
        <v>193</v>
      </c>
      <c r="AC967" s="29">
        <v>5103</v>
      </c>
    </row>
    <row r="968" spans="1:29">
      <c r="A968" s="12">
        <v>73</v>
      </c>
      <c r="B968" s="12" t="s">
        <v>966</v>
      </c>
      <c r="C968" s="12">
        <v>73124</v>
      </c>
      <c r="D968" s="12" t="s">
        <v>972</v>
      </c>
      <c r="E968" s="17">
        <v>0.88880086016637427</v>
      </c>
      <c r="F968" s="17">
        <v>0.11119913983362571</v>
      </c>
      <c r="G968" s="13">
        <v>0.91050082440230828</v>
      </c>
      <c r="H968" s="13">
        <v>7.9888097660223805</v>
      </c>
      <c r="I968" s="14">
        <v>9.7797367450999531</v>
      </c>
      <c r="J968" s="16">
        <v>0.88729999999999998</v>
      </c>
      <c r="K968" s="16">
        <v>0.88700000000000001</v>
      </c>
      <c r="L968" s="13">
        <v>0.4778</v>
      </c>
      <c r="M968" s="13">
        <v>3.7100000000000001E-2</v>
      </c>
      <c r="N968" s="13">
        <v>8.2600000000000007E-2</v>
      </c>
      <c r="O968" s="13">
        <v>7.22E-2</v>
      </c>
      <c r="P968" s="16">
        <v>2.4500000000000001E-2</v>
      </c>
      <c r="Q968" s="16">
        <v>0</v>
      </c>
      <c r="R968" s="16">
        <v>0</v>
      </c>
      <c r="S968" s="16">
        <f t="shared" ref="S968:S1031" si="32">+(P968+Q968+R968)/3</f>
        <v>8.1666666666666676E-3</v>
      </c>
      <c r="T968" s="18">
        <v>1</v>
      </c>
      <c r="U968" s="1">
        <v>16.574585639999999</v>
      </c>
      <c r="V968" s="1">
        <f t="shared" si="31"/>
        <v>2.8664538607473862</v>
      </c>
      <c r="W968" s="25"/>
      <c r="X968">
        <v>0.1033</v>
      </c>
      <c r="Y968" s="1">
        <v>0.19489999999999999</v>
      </c>
      <c r="Z968" s="1">
        <v>0.17799999999999999</v>
      </c>
      <c r="AA968" s="1">
        <v>19013</v>
      </c>
      <c r="AB968" s="1">
        <v>181</v>
      </c>
      <c r="AC968" s="29">
        <v>3775</v>
      </c>
    </row>
    <row r="969" spans="1:29">
      <c r="A969" s="12">
        <v>73</v>
      </c>
      <c r="B969" s="12" t="s">
        <v>966</v>
      </c>
      <c r="C969" s="12">
        <v>73148</v>
      </c>
      <c r="D969" s="12" t="s">
        <v>973</v>
      </c>
      <c r="E969" s="17">
        <v>0.80965757089352597</v>
      </c>
      <c r="F969" s="17">
        <v>0.19034242910647406</v>
      </c>
      <c r="G969" s="13">
        <v>0.66684506288466683</v>
      </c>
      <c r="H969" s="13">
        <v>4.2507022471910112</v>
      </c>
      <c r="I969" s="14">
        <v>8.9195869209999152</v>
      </c>
      <c r="J969" s="16">
        <v>1.0444</v>
      </c>
      <c r="K969" s="16">
        <v>1.0444</v>
      </c>
      <c r="L969" s="13">
        <v>0.63239999999999996</v>
      </c>
      <c r="M969" s="13">
        <v>2.2599999999999999E-2</v>
      </c>
      <c r="N969" s="13">
        <v>7.0400000000000004E-2</v>
      </c>
      <c r="O969" s="13">
        <v>0</v>
      </c>
      <c r="P969" s="16">
        <v>0.39439999999999997</v>
      </c>
      <c r="Q969" s="16">
        <v>0.2702</v>
      </c>
      <c r="R969" s="16">
        <v>0.32250000000000001</v>
      </c>
      <c r="S969" s="16">
        <f t="shared" si="32"/>
        <v>0.32903333333333334</v>
      </c>
      <c r="T969" s="18">
        <v>1</v>
      </c>
      <c r="U969" s="1">
        <v>0</v>
      </c>
      <c r="V969" s="1">
        <f t="shared" si="31"/>
        <v>0</v>
      </c>
      <c r="W969" s="26"/>
      <c r="X969">
        <v>0.15840000000000001</v>
      </c>
      <c r="Y969" s="1">
        <v>0.91010000000000002</v>
      </c>
      <c r="Z969" s="1">
        <v>0.6472</v>
      </c>
      <c r="AA969" s="1">
        <v>10895</v>
      </c>
      <c r="AB969" s="1">
        <v>107</v>
      </c>
      <c r="AC969" s="29">
        <v>1868</v>
      </c>
    </row>
    <row r="970" spans="1:29">
      <c r="A970" s="12">
        <v>73</v>
      </c>
      <c r="B970" s="12" t="s">
        <v>966</v>
      </c>
      <c r="C970" s="12">
        <v>73152</v>
      </c>
      <c r="D970" s="12" t="s">
        <v>974</v>
      </c>
      <c r="E970" s="17">
        <v>0.94213213677858576</v>
      </c>
      <c r="F970" s="17">
        <v>5.7867863221414205E-2</v>
      </c>
      <c r="G970" s="13">
        <v>1.0041951522684898</v>
      </c>
      <c r="H970" s="13">
        <v>16.237333333333332</v>
      </c>
      <c r="I970" s="14">
        <v>8.7740036002009312</v>
      </c>
      <c r="J970" s="16">
        <v>0.81420000000000003</v>
      </c>
      <c r="K970" s="16">
        <v>0.81420000000000003</v>
      </c>
      <c r="L970" s="13">
        <v>0.43280000000000002</v>
      </c>
      <c r="M970" s="13">
        <v>3.3599999999999998E-2</v>
      </c>
      <c r="N970" s="13">
        <v>5.4800000000000001E-2</v>
      </c>
      <c r="O970" s="13">
        <v>4.5100000000000001E-2</v>
      </c>
      <c r="P970" s="16">
        <v>0.26960000000000001</v>
      </c>
      <c r="Q970" s="16">
        <v>0.26960000000000001</v>
      </c>
      <c r="R970" s="16">
        <v>0.30790000000000001</v>
      </c>
      <c r="S970" s="16">
        <f t="shared" si="32"/>
        <v>0.28236666666666665</v>
      </c>
      <c r="T970" s="18">
        <v>0.86205203730976909</v>
      </c>
      <c r="U970" s="1">
        <v>0</v>
      </c>
      <c r="V970" s="1">
        <f t="shared" si="31"/>
        <v>0</v>
      </c>
      <c r="W970" s="25"/>
      <c r="X970">
        <v>7.3400000000000007E-2</v>
      </c>
      <c r="Y970" s="1">
        <v>6.6500000000000004E-2</v>
      </c>
      <c r="Z970" s="1">
        <v>6.4399999999999999E-2</v>
      </c>
      <c r="AA970" s="1">
        <v>6590</v>
      </c>
      <c r="AB970" s="1">
        <v>51</v>
      </c>
      <c r="AC970" s="29">
        <v>1308</v>
      </c>
    </row>
    <row r="971" spans="1:29">
      <c r="A971" s="12">
        <v>73</v>
      </c>
      <c r="B971" s="12" t="s">
        <v>966</v>
      </c>
      <c r="C971" s="12">
        <v>73168</v>
      </c>
      <c r="D971" s="12" t="s">
        <v>975</v>
      </c>
      <c r="E971" s="17">
        <v>0.84673321234119781</v>
      </c>
      <c r="F971" s="17">
        <v>0.15326678765880217</v>
      </c>
      <c r="G971" s="13">
        <v>1</v>
      </c>
      <c r="H971" s="13">
        <v>5.5239166469334595</v>
      </c>
      <c r="I971" s="14">
        <v>10.916923143796645</v>
      </c>
      <c r="J971" s="16">
        <v>0.85799999999999998</v>
      </c>
      <c r="K971" s="16">
        <v>0.85750000000000004</v>
      </c>
      <c r="L971" s="13">
        <v>0.4365</v>
      </c>
      <c r="M971" s="13">
        <v>2.86E-2</v>
      </c>
      <c r="N971" s="13">
        <v>8.6599999999999996E-2</v>
      </c>
      <c r="O971" s="13">
        <v>6.2399999999999997E-2</v>
      </c>
      <c r="P971" s="16">
        <v>0.95140000000000002</v>
      </c>
      <c r="Q971" s="16">
        <v>0.88109999999999999</v>
      </c>
      <c r="R971" s="16">
        <v>7.4000000000000003E-3</v>
      </c>
      <c r="S971" s="16">
        <f t="shared" si="32"/>
        <v>0.61330000000000007</v>
      </c>
      <c r="T971" s="18">
        <v>0.66895935685573904</v>
      </c>
      <c r="U971" s="1">
        <v>3.6968576710000001</v>
      </c>
      <c r="V971" s="1">
        <f t="shared" si="31"/>
        <v>1.5468937044780116</v>
      </c>
      <c r="W971" s="26"/>
      <c r="X971">
        <v>7.9799999999999996E-2</v>
      </c>
      <c r="Y971" s="1">
        <v>9.4700000000000006E-2</v>
      </c>
      <c r="Z971" s="1">
        <v>9.0499999999999997E-2</v>
      </c>
      <c r="AA971" s="1">
        <v>52842</v>
      </c>
      <c r="AB971" s="1">
        <v>541</v>
      </c>
      <c r="AC971" s="29">
        <v>11276</v>
      </c>
    </row>
    <row r="972" spans="1:29">
      <c r="A972" s="12">
        <v>73</v>
      </c>
      <c r="B972" s="12" t="s">
        <v>966</v>
      </c>
      <c r="C972" s="12">
        <v>73200</v>
      </c>
      <c r="D972" s="12" t="s">
        <v>976</v>
      </c>
      <c r="E972" s="17">
        <v>0.89554446293215006</v>
      </c>
      <c r="F972" s="17">
        <v>0.10445553706784988</v>
      </c>
      <c r="G972" s="13">
        <v>0.6345612388549976</v>
      </c>
      <c r="H972" s="13">
        <v>8.5583038869257955</v>
      </c>
      <c r="I972" s="14">
        <v>8.596004371840527</v>
      </c>
      <c r="J972" s="16">
        <v>0.79210000000000003</v>
      </c>
      <c r="K972" s="16">
        <v>0.79210000000000003</v>
      </c>
      <c r="L972" s="13">
        <v>0.44629999999999997</v>
      </c>
      <c r="M972" s="13">
        <v>1.8100000000000002E-2</v>
      </c>
      <c r="N972" s="13">
        <v>6.4899999999999999E-2</v>
      </c>
      <c r="O972" s="13">
        <v>5.0099999999999999E-2</v>
      </c>
      <c r="P972" s="16">
        <v>0</v>
      </c>
      <c r="Q972" s="16">
        <v>0</v>
      </c>
      <c r="R972" s="16">
        <v>0</v>
      </c>
      <c r="S972" s="16">
        <f t="shared" si="32"/>
        <v>0</v>
      </c>
      <c r="T972" s="18">
        <v>0.88823732321490101</v>
      </c>
      <c r="U972" s="1">
        <v>0</v>
      </c>
      <c r="V972" s="1">
        <f t="shared" si="31"/>
        <v>0</v>
      </c>
      <c r="W972" s="25"/>
      <c r="X972">
        <v>0.28820000000000001</v>
      </c>
      <c r="Y972" s="1">
        <v>0.2341</v>
      </c>
      <c r="Z972" s="1">
        <v>0.2104</v>
      </c>
      <c r="AA972" s="1">
        <v>8536</v>
      </c>
      <c r="AB972" s="1">
        <v>50</v>
      </c>
      <c r="AC972" s="29">
        <v>1524</v>
      </c>
    </row>
    <row r="973" spans="1:29">
      <c r="A973" s="12">
        <v>73</v>
      </c>
      <c r="B973" s="12" t="s">
        <v>966</v>
      </c>
      <c r="C973" s="12">
        <v>73217</v>
      </c>
      <c r="D973" s="12" t="s">
        <v>977</v>
      </c>
      <c r="E973" s="17">
        <v>0.94432740324594255</v>
      </c>
      <c r="F973" s="17">
        <v>5.5672596754057425E-2</v>
      </c>
      <c r="G973" s="13">
        <v>1</v>
      </c>
      <c r="H973" s="13">
        <v>16.950280112044819</v>
      </c>
      <c r="I973" s="14">
        <v>10.151635862839903</v>
      </c>
      <c r="J973" s="16">
        <v>0.97619999999999996</v>
      </c>
      <c r="K973" s="16">
        <v>0.97619999999999996</v>
      </c>
      <c r="L973" s="13">
        <v>0.65939999999999999</v>
      </c>
      <c r="M973" s="13">
        <v>3.8199999999999998E-2</v>
      </c>
      <c r="N973" s="13">
        <v>8.2500000000000004E-2</v>
      </c>
      <c r="O973" s="13">
        <v>4.8000000000000001E-2</v>
      </c>
      <c r="P973" s="16">
        <v>0.20860000000000001</v>
      </c>
      <c r="Q973" s="16">
        <v>0.15759999999999999</v>
      </c>
      <c r="R973" s="16">
        <v>0.15759999999999999</v>
      </c>
      <c r="S973" s="16">
        <f t="shared" si="32"/>
        <v>0.17459999999999998</v>
      </c>
      <c r="T973" s="18">
        <v>0.80354191263282104</v>
      </c>
      <c r="U973" s="1">
        <v>23.58490566</v>
      </c>
      <c r="V973" s="1">
        <f t="shared" si="31"/>
        <v>3.2021326635573741</v>
      </c>
      <c r="W973" s="26"/>
      <c r="X973">
        <v>3.6700000000000003E-2</v>
      </c>
      <c r="Y973" s="1">
        <v>6.6799999999999998E-2</v>
      </c>
      <c r="Z973" s="1">
        <v>6.4699999999999994E-2</v>
      </c>
      <c r="AA973" s="1">
        <v>23625</v>
      </c>
      <c r="AB973" s="1">
        <v>212</v>
      </c>
      <c r="AC973" s="29">
        <v>5113</v>
      </c>
    </row>
    <row r="974" spans="1:29">
      <c r="A974" s="12">
        <v>73</v>
      </c>
      <c r="B974" s="12" t="s">
        <v>966</v>
      </c>
      <c r="C974" s="12">
        <v>73226</v>
      </c>
      <c r="D974" s="12" t="s">
        <v>978</v>
      </c>
      <c r="E974" s="17">
        <v>0.91780076211213935</v>
      </c>
      <c r="F974" s="17">
        <v>8.2199237887860641E-2</v>
      </c>
      <c r="G974" s="13">
        <v>0.83490512441767983</v>
      </c>
      <c r="H974" s="13">
        <v>11.14710743801653</v>
      </c>
      <c r="I974" s="14">
        <v>8.9023195285288708</v>
      </c>
      <c r="J974" s="16">
        <v>0.87129999999999996</v>
      </c>
      <c r="K974" s="16">
        <v>0.87129999999999996</v>
      </c>
      <c r="L974" s="13">
        <v>0.51939999999999997</v>
      </c>
      <c r="M974" s="13">
        <v>3.3700000000000001E-2</v>
      </c>
      <c r="N974" s="13">
        <v>3.7199999999999997E-2</v>
      </c>
      <c r="O974" s="13">
        <v>2.6700000000000002E-2</v>
      </c>
      <c r="P974" s="16">
        <v>0</v>
      </c>
      <c r="Q974" s="16">
        <v>0</v>
      </c>
      <c r="R974" s="16">
        <v>0</v>
      </c>
      <c r="S974" s="16">
        <f t="shared" si="32"/>
        <v>0</v>
      </c>
      <c r="T974" s="18">
        <v>0.82143897465773308</v>
      </c>
      <c r="U974" s="1">
        <v>21.276595740000001</v>
      </c>
      <c r="V974" s="1">
        <f t="shared" si="31"/>
        <v>3.1035366089503542</v>
      </c>
      <c r="W974" s="25"/>
      <c r="X974">
        <v>1.3599999999999999E-2</v>
      </c>
      <c r="Y974" s="1">
        <v>4.6399999999999997E-2</v>
      </c>
      <c r="Z974" s="1">
        <v>4.53E-2</v>
      </c>
      <c r="AA974" s="1">
        <v>9022</v>
      </c>
      <c r="AB974" s="1">
        <v>47</v>
      </c>
      <c r="AC974" s="29">
        <v>1678</v>
      </c>
    </row>
    <row r="975" spans="1:29">
      <c r="A975" s="12">
        <v>73</v>
      </c>
      <c r="B975" s="12" t="s">
        <v>966</v>
      </c>
      <c r="C975" s="12">
        <v>73236</v>
      </c>
      <c r="D975" s="12" t="s">
        <v>979</v>
      </c>
      <c r="E975" s="17">
        <v>0.92685036451254166</v>
      </c>
      <c r="F975" s="17">
        <v>7.31496354874583E-2</v>
      </c>
      <c r="G975" s="13">
        <v>0.93582331174838118</v>
      </c>
      <c r="H975" s="13">
        <v>12.649241146711637</v>
      </c>
      <c r="I975" s="14">
        <v>8.9988783254358111</v>
      </c>
      <c r="J975" s="16">
        <v>0.92759999999999998</v>
      </c>
      <c r="K975" s="16">
        <v>0.92689999999999995</v>
      </c>
      <c r="L975" s="13">
        <v>0.55779999999999996</v>
      </c>
      <c r="M975" s="13">
        <v>2.5000000000000001E-2</v>
      </c>
      <c r="N975" s="13">
        <v>7.1400000000000005E-2</v>
      </c>
      <c r="O975" s="13">
        <v>4.2900000000000001E-2</v>
      </c>
      <c r="P975" s="16">
        <v>0.27810000000000001</v>
      </c>
      <c r="Q975" s="16">
        <v>0.27810000000000001</v>
      </c>
      <c r="R975" s="16">
        <v>0.27810000000000001</v>
      </c>
      <c r="S975" s="16">
        <f t="shared" si="32"/>
        <v>0.27810000000000001</v>
      </c>
      <c r="T975" s="18">
        <v>0.86731967943009702</v>
      </c>
      <c r="U975" s="1">
        <v>0</v>
      </c>
      <c r="V975" s="1">
        <f t="shared" si="31"/>
        <v>0</v>
      </c>
      <c r="W975" s="26"/>
      <c r="X975">
        <v>3.8699999999999998E-2</v>
      </c>
      <c r="Y975" s="1">
        <v>5.1799999999999999E-2</v>
      </c>
      <c r="Z975" s="1">
        <v>5.0500000000000003E-2</v>
      </c>
      <c r="AA975" s="1">
        <v>8594</v>
      </c>
      <c r="AB975" s="1">
        <v>58</v>
      </c>
      <c r="AC975" s="29">
        <v>1530</v>
      </c>
    </row>
    <row r="976" spans="1:29">
      <c r="A976" s="12">
        <v>73</v>
      </c>
      <c r="B976" s="12" t="s">
        <v>966</v>
      </c>
      <c r="C976" s="12">
        <v>73268</v>
      </c>
      <c r="D976" s="12" t="s">
        <v>980</v>
      </c>
      <c r="E976" s="17">
        <v>0.65324176329836181</v>
      </c>
      <c r="F976" s="17">
        <v>0.34675823670163813</v>
      </c>
      <c r="G976" s="13">
        <v>1</v>
      </c>
      <c r="H976" s="13">
        <v>1.8837911358811041</v>
      </c>
      <c r="I976" s="14">
        <v>11.372846972498374</v>
      </c>
      <c r="J976" s="16">
        <v>1.0764</v>
      </c>
      <c r="K976" s="16">
        <v>1.075</v>
      </c>
      <c r="L976" s="13">
        <v>0.58450000000000002</v>
      </c>
      <c r="M976" s="13">
        <v>3.8100000000000002E-2</v>
      </c>
      <c r="N976" s="13">
        <v>9.7000000000000003E-2</v>
      </c>
      <c r="O976" s="13">
        <v>5.5199999999999999E-2</v>
      </c>
      <c r="P976" s="16">
        <v>0.7984</v>
      </c>
      <c r="Q976" s="16">
        <v>0.79830000000000001</v>
      </c>
      <c r="R976" s="16">
        <v>0.78150000000000008</v>
      </c>
      <c r="S976" s="16">
        <f t="shared" si="32"/>
        <v>0.7927333333333334</v>
      </c>
      <c r="T976" s="18">
        <v>1</v>
      </c>
      <c r="U976" s="1">
        <v>8.9552238810000002</v>
      </c>
      <c r="V976" s="1">
        <f t="shared" si="31"/>
        <v>2.2980974265651373</v>
      </c>
      <c r="W976" s="25"/>
      <c r="X976">
        <v>0.27610000000000001</v>
      </c>
      <c r="Y976" s="1">
        <v>2.3538000000000001</v>
      </c>
      <c r="Z976" s="1">
        <v>1.2101</v>
      </c>
      <c r="AA976" s="1">
        <v>71777</v>
      </c>
      <c r="AB976" s="1">
        <v>670</v>
      </c>
      <c r="AC976" s="29">
        <v>11983</v>
      </c>
    </row>
    <row r="977" spans="1:29">
      <c r="A977" s="12">
        <v>73</v>
      </c>
      <c r="B977" s="12" t="s">
        <v>966</v>
      </c>
      <c r="C977" s="12">
        <v>73270</v>
      </c>
      <c r="D977" s="12" t="s">
        <v>981</v>
      </c>
      <c r="E977" s="17">
        <v>0.88663181478715458</v>
      </c>
      <c r="F977" s="17">
        <v>0.1133681852128454</v>
      </c>
      <c r="G977" s="13">
        <v>0.8416090509113765</v>
      </c>
      <c r="H977" s="13">
        <v>7.810526315789474</v>
      </c>
      <c r="I977" s="14">
        <v>8.8092656121693107</v>
      </c>
      <c r="J977" s="16">
        <v>0.96550000000000002</v>
      </c>
      <c r="K977" s="16">
        <v>0.96550000000000002</v>
      </c>
      <c r="L977" s="13">
        <v>0.72409999999999997</v>
      </c>
      <c r="M977" s="13">
        <v>3.2599999999999997E-2</v>
      </c>
      <c r="N977" s="13">
        <v>6.4399999999999999E-2</v>
      </c>
      <c r="O977" s="13">
        <v>3.6799999999999999E-2</v>
      </c>
      <c r="P977" s="16">
        <v>0.18479999999999999</v>
      </c>
      <c r="Q977" s="16">
        <v>0.18479999999999999</v>
      </c>
      <c r="R977" s="16">
        <v>0.18479999999999999</v>
      </c>
      <c r="S977" s="16">
        <f t="shared" si="32"/>
        <v>0.18479999999999999</v>
      </c>
      <c r="T977" s="18">
        <v>1</v>
      </c>
      <c r="U977" s="1">
        <v>0</v>
      </c>
      <c r="V977" s="1">
        <f t="shared" si="31"/>
        <v>0</v>
      </c>
      <c r="W977" s="26"/>
      <c r="X977">
        <v>5.45E-2</v>
      </c>
      <c r="Y977" s="1">
        <v>9.98E-2</v>
      </c>
      <c r="Z977" s="1">
        <v>9.5200000000000007E-2</v>
      </c>
      <c r="AA977" s="1">
        <v>7948</v>
      </c>
      <c r="AB977" s="1">
        <v>40</v>
      </c>
      <c r="AC977" s="29">
        <v>1452</v>
      </c>
    </row>
    <row r="978" spans="1:29">
      <c r="A978" s="12">
        <v>73</v>
      </c>
      <c r="B978" s="12" t="s">
        <v>966</v>
      </c>
      <c r="C978" s="12">
        <v>73275</v>
      </c>
      <c r="D978" s="12" t="s">
        <v>982</v>
      </c>
      <c r="E978" s="17">
        <v>0.77571327932370548</v>
      </c>
      <c r="F978" s="17">
        <v>0.22428672067629446</v>
      </c>
      <c r="G978" s="13">
        <v>0.37457532077712175</v>
      </c>
      <c r="H978" s="13">
        <v>3.457221350078493</v>
      </c>
      <c r="I978" s="14">
        <v>9.3375895728916465</v>
      </c>
      <c r="J978" s="16">
        <v>0.873</v>
      </c>
      <c r="K978" s="16">
        <v>0.87260000000000004</v>
      </c>
      <c r="L978" s="13">
        <v>0.4335</v>
      </c>
      <c r="M978" s="13">
        <v>5.1299999999999998E-2</v>
      </c>
      <c r="N978" s="13">
        <v>7.85E-2</v>
      </c>
      <c r="O978" s="13">
        <v>4.7500000000000001E-2</v>
      </c>
      <c r="P978" s="16">
        <v>0.65790000000000004</v>
      </c>
      <c r="Q978" s="16">
        <v>0.61070000000000002</v>
      </c>
      <c r="R978" s="16">
        <v>0.61070000000000002</v>
      </c>
      <c r="S978" s="16">
        <f t="shared" si="32"/>
        <v>0.6264333333333334</v>
      </c>
      <c r="T978" s="18">
        <v>1</v>
      </c>
      <c r="U978" s="1">
        <v>10.362694299999999</v>
      </c>
      <c r="V978" s="1">
        <f t="shared" si="31"/>
        <v>2.430335559467403</v>
      </c>
      <c r="W978" s="25"/>
      <c r="X978">
        <v>0.1014</v>
      </c>
      <c r="Y978" s="1">
        <v>3.831</v>
      </c>
      <c r="Z978" s="1">
        <v>1.5750999999999999</v>
      </c>
      <c r="AA978" s="1">
        <v>29056</v>
      </c>
      <c r="AB978" s="1">
        <v>193</v>
      </c>
      <c r="AC978" s="29">
        <v>5040</v>
      </c>
    </row>
    <row r="979" spans="1:29">
      <c r="A979" s="12">
        <v>73</v>
      </c>
      <c r="B979" s="12" t="s">
        <v>966</v>
      </c>
      <c r="C979" s="12">
        <v>73283</v>
      </c>
      <c r="D979" s="12" t="s">
        <v>983</v>
      </c>
      <c r="E979" s="17">
        <v>0.85466450448245268</v>
      </c>
      <c r="F979" s="17">
        <v>0.14533549551754735</v>
      </c>
      <c r="G979" s="13">
        <v>1</v>
      </c>
      <c r="H979" s="13">
        <v>5.8793938118290887</v>
      </c>
      <c r="I979" s="14">
        <v>10.394640940504598</v>
      </c>
      <c r="J979" s="16">
        <v>0.88670000000000004</v>
      </c>
      <c r="K979" s="16">
        <v>0.88670000000000004</v>
      </c>
      <c r="L979" s="13">
        <v>0.48409999999999997</v>
      </c>
      <c r="M979" s="13">
        <v>3.4099999999999998E-2</v>
      </c>
      <c r="N979" s="13">
        <v>8.9599999999999999E-2</v>
      </c>
      <c r="O979" s="13">
        <v>7.7700000000000005E-2</v>
      </c>
      <c r="P979" s="16">
        <v>0.44770000000000004</v>
      </c>
      <c r="Q979" s="16">
        <v>0.44770000000000004</v>
      </c>
      <c r="R979" s="16">
        <v>0.7279000000000001</v>
      </c>
      <c r="S979" s="16">
        <f t="shared" si="32"/>
        <v>0.54110000000000003</v>
      </c>
      <c r="T979" s="18">
        <v>1</v>
      </c>
      <c r="U979" s="1">
        <v>3.968253968</v>
      </c>
      <c r="V979" s="1">
        <f t="shared" si="31"/>
        <v>1.6030684640975024</v>
      </c>
      <c r="W979" s="26"/>
      <c r="X979">
        <v>0.1037</v>
      </c>
      <c r="Y979" s="1">
        <v>0.42270000000000002</v>
      </c>
      <c r="Z979" s="1">
        <v>0.35249999999999998</v>
      </c>
      <c r="AA979" s="1">
        <v>31821</v>
      </c>
      <c r="AB979" s="1">
        <v>252</v>
      </c>
      <c r="AC979" s="29">
        <v>5925</v>
      </c>
    </row>
    <row r="980" spans="1:29">
      <c r="A980" s="12">
        <v>73</v>
      </c>
      <c r="B980" s="12" t="s">
        <v>966</v>
      </c>
      <c r="C980" s="12">
        <v>73319</v>
      </c>
      <c r="D980" s="12" t="s">
        <v>984</v>
      </c>
      <c r="E980" s="17">
        <v>0.82882131054511465</v>
      </c>
      <c r="F980" s="17">
        <v>0.17117868945488535</v>
      </c>
      <c r="G980" s="13">
        <v>0.8588589449541284</v>
      </c>
      <c r="H980" s="13">
        <v>4.8409046597777348</v>
      </c>
      <c r="I980" s="14">
        <v>10.307551679728665</v>
      </c>
      <c r="J980" s="16">
        <v>0.86019999999999996</v>
      </c>
      <c r="K980" s="16">
        <v>0.85929999999999995</v>
      </c>
      <c r="L980" s="13">
        <v>0.52480000000000004</v>
      </c>
      <c r="M980" s="13">
        <v>4.7500000000000001E-2</v>
      </c>
      <c r="N980" s="13">
        <v>7.8399999999999997E-2</v>
      </c>
      <c r="O980" s="13">
        <v>5.0999999999999997E-2</v>
      </c>
      <c r="P980" s="16">
        <v>0.65769999999999995</v>
      </c>
      <c r="Q980" s="16">
        <v>0.50309999999999999</v>
      </c>
      <c r="R980" s="16">
        <v>0.48820000000000002</v>
      </c>
      <c r="S980" s="16">
        <f t="shared" si="32"/>
        <v>0.54966666666666664</v>
      </c>
      <c r="T980" s="18">
        <v>0.93893230891508794</v>
      </c>
      <c r="U980" s="1">
        <v>7.8125</v>
      </c>
      <c r="V980" s="1">
        <f t="shared" si="31"/>
        <v>2.1761711681383868</v>
      </c>
      <c r="W980" s="25"/>
      <c r="X980">
        <v>0.1207</v>
      </c>
      <c r="Y980" s="1">
        <v>0.37419999999999998</v>
      </c>
      <c r="Z980" s="1">
        <v>0.31790000000000002</v>
      </c>
      <c r="AA980" s="1">
        <v>33796</v>
      </c>
      <c r="AB980" s="1">
        <v>256</v>
      </c>
      <c r="AC980" s="29">
        <v>5814</v>
      </c>
    </row>
    <row r="981" spans="1:29">
      <c r="A981" s="12">
        <v>73</v>
      </c>
      <c r="B981" s="12" t="s">
        <v>966</v>
      </c>
      <c r="C981" s="12">
        <v>73347</v>
      </c>
      <c r="D981" s="12" t="s">
        <v>986</v>
      </c>
      <c r="E981" s="17">
        <v>0.93936671906579838</v>
      </c>
      <c r="F981" s="17">
        <v>6.0633280934201665E-2</v>
      </c>
      <c r="G981" s="13">
        <v>0.57808645982084905</v>
      </c>
      <c r="H981" s="13">
        <v>15.435424354243542</v>
      </c>
      <c r="I981" s="14">
        <v>8.4015578478173136</v>
      </c>
      <c r="J981" s="16">
        <v>0.75109999999999999</v>
      </c>
      <c r="K981" s="16">
        <v>0.75109999999999999</v>
      </c>
      <c r="L981" s="13">
        <v>0.4304</v>
      </c>
      <c r="M981" s="13">
        <v>2.5700000000000001E-2</v>
      </c>
      <c r="N981" s="13">
        <v>0.10929999999999999</v>
      </c>
      <c r="O981" s="13">
        <v>7.7100000000000002E-2</v>
      </c>
      <c r="P981" s="16">
        <v>0.17910000000000001</v>
      </c>
      <c r="Q981" s="16">
        <v>0.18429999999999999</v>
      </c>
      <c r="R981" s="16">
        <v>0.17420000000000002</v>
      </c>
      <c r="S981" s="16">
        <f t="shared" si="32"/>
        <v>0.17920000000000003</v>
      </c>
      <c r="T981" s="18">
        <v>1</v>
      </c>
      <c r="U981" s="1">
        <v>0</v>
      </c>
      <c r="V981" s="1">
        <f t="shared" si="31"/>
        <v>0</v>
      </c>
      <c r="W981" s="25"/>
      <c r="X981">
        <v>5.91E-2</v>
      </c>
      <c r="Y981" s="1">
        <v>8.8200000000000001E-2</v>
      </c>
      <c r="Z981" s="1">
        <v>8.4500000000000006E-2</v>
      </c>
      <c r="AA981" s="1">
        <v>7598</v>
      </c>
      <c r="AB981" s="1">
        <v>23</v>
      </c>
      <c r="AC981" s="29">
        <v>1478</v>
      </c>
    </row>
    <row r="982" spans="1:29">
      <c r="A982" s="12">
        <v>73</v>
      </c>
      <c r="B982" s="12" t="s">
        <v>966</v>
      </c>
      <c r="C982" s="12">
        <v>73349</v>
      </c>
      <c r="D982" s="12" t="s">
        <v>987</v>
      </c>
      <c r="E982" s="17">
        <v>0.54969552366368724</v>
      </c>
      <c r="F982" s="17">
        <v>0.45026886506890779</v>
      </c>
      <c r="G982" s="13">
        <v>1</v>
      </c>
      <c r="H982" s="13">
        <v>1.2207196520363781</v>
      </c>
      <c r="I982" s="14">
        <v>10.242884080674587</v>
      </c>
      <c r="J982" s="16">
        <v>0.81989999999999996</v>
      </c>
      <c r="K982" s="16">
        <v>0.8196</v>
      </c>
      <c r="L982" s="13">
        <v>0.40029999999999999</v>
      </c>
      <c r="M982" s="13">
        <v>3.4099999999999998E-2</v>
      </c>
      <c r="N982" s="13">
        <v>0.11799999999999999</v>
      </c>
      <c r="O982" s="13">
        <v>5.8999999999999997E-2</v>
      </c>
      <c r="P982" s="16">
        <v>0.55149999999999999</v>
      </c>
      <c r="Q982" s="16">
        <v>0.5514</v>
      </c>
      <c r="R982" s="16">
        <v>0.59670000000000001</v>
      </c>
      <c r="S982" s="16">
        <f t="shared" si="32"/>
        <v>0.56653333333333333</v>
      </c>
      <c r="T982" s="18">
        <v>0.79094076655052203</v>
      </c>
      <c r="U982" s="1">
        <v>7.0422535210000001</v>
      </c>
      <c r="V982" s="1">
        <f t="shared" si="31"/>
        <v>2.084709332598933</v>
      </c>
      <c r="W982" s="26"/>
      <c r="X982">
        <v>6.0499999999999998E-2</v>
      </c>
      <c r="Y982" s="1">
        <v>0.44840000000000002</v>
      </c>
      <c r="Z982" s="1">
        <v>0.3705</v>
      </c>
      <c r="AA982" s="1">
        <v>24953</v>
      </c>
      <c r="AB982" s="1">
        <v>142</v>
      </c>
      <c r="AC982" s="29">
        <v>3906</v>
      </c>
    </row>
    <row r="983" spans="1:29">
      <c r="A983" s="12">
        <v>73</v>
      </c>
      <c r="B983" s="12" t="s">
        <v>966</v>
      </c>
      <c r="C983" s="12">
        <v>73352</v>
      </c>
      <c r="D983" s="12" t="s">
        <v>989</v>
      </c>
      <c r="E983" s="17">
        <v>0.88970763014024246</v>
      </c>
      <c r="F983" s="17">
        <v>0.11029236985975754</v>
      </c>
      <c r="G983" s="13">
        <v>0.66598068703498492</v>
      </c>
      <c r="H983" s="13">
        <v>8.0581270182992473</v>
      </c>
      <c r="I983" s="14">
        <v>9.0377711066249056</v>
      </c>
      <c r="J983" s="16">
        <v>0.93369999999999997</v>
      </c>
      <c r="K983" s="16">
        <v>0.93369999999999997</v>
      </c>
      <c r="L983" s="13">
        <v>0.55959999999999999</v>
      </c>
      <c r="M983" s="13">
        <v>2.46E-2</v>
      </c>
      <c r="N983" s="13">
        <v>7.1400000000000005E-2</v>
      </c>
      <c r="O983" s="13">
        <v>4.7800000000000002E-2</v>
      </c>
      <c r="P983" s="16">
        <v>0.25090000000000001</v>
      </c>
      <c r="Q983" s="16">
        <v>0.25090000000000001</v>
      </c>
      <c r="R983" s="16">
        <v>0.25090000000000001</v>
      </c>
      <c r="S983" s="16">
        <f t="shared" si="32"/>
        <v>0.25090000000000001</v>
      </c>
      <c r="T983" s="18">
        <v>1</v>
      </c>
      <c r="U983" s="1">
        <v>0</v>
      </c>
      <c r="V983" s="1">
        <f t="shared" si="31"/>
        <v>0</v>
      </c>
      <c r="W983" s="26"/>
      <c r="X983">
        <v>6.7000000000000004E-2</v>
      </c>
      <c r="Y983" s="1">
        <v>0.35110000000000002</v>
      </c>
      <c r="Z983" s="1">
        <v>0.30099999999999999</v>
      </c>
      <c r="AA983" s="1">
        <v>12415</v>
      </c>
      <c r="AB983" s="1">
        <v>74</v>
      </c>
      <c r="AC983" s="29">
        <v>2212</v>
      </c>
    </row>
    <row r="984" spans="1:29">
      <c r="A984" s="12">
        <v>73</v>
      </c>
      <c r="B984" s="12" t="s">
        <v>966</v>
      </c>
      <c r="C984" s="12">
        <v>73408</v>
      </c>
      <c r="D984" s="12" t="s">
        <v>990</v>
      </c>
      <c r="E984" s="17">
        <v>0.72530680650916368</v>
      </c>
      <c r="F984" s="17">
        <v>0.27463913066983836</v>
      </c>
      <c r="G984" s="13">
        <v>0.98508813974543319</v>
      </c>
      <c r="H984" s="13">
        <v>2.6404251131666996</v>
      </c>
      <c r="I984" s="14">
        <v>9.825417897114205</v>
      </c>
      <c r="J984" s="16">
        <v>0.91890000000000005</v>
      </c>
      <c r="K984" s="16">
        <v>0.91859999999999997</v>
      </c>
      <c r="L984" s="13">
        <v>0.58289999999999997</v>
      </c>
      <c r="M984" s="13">
        <v>2.2700000000000001E-2</v>
      </c>
      <c r="N984" s="13">
        <v>5.8000000000000003E-2</v>
      </c>
      <c r="O984" s="13">
        <v>4.7300000000000002E-2</v>
      </c>
      <c r="P984" s="16">
        <v>0.69330000000000003</v>
      </c>
      <c r="Q984" s="16">
        <v>0.69330000000000003</v>
      </c>
      <c r="R984" s="16">
        <v>0.45710000000000001</v>
      </c>
      <c r="S984" s="16">
        <f t="shared" si="32"/>
        <v>0.61456666666666671</v>
      </c>
      <c r="T984" s="18">
        <v>1</v>
      </c>
      <c r="U984" s="1">
        <v>0</v>
      </c>
      <c r="V984" s="1">
        <f t="shared" si="31"/>
        <v>0</v>
      </c>
      <c r="W984" s="25"/>
      <c r="X984">
        <v>0.13800000000000001</v>
      </c>
      <c r="Y984" s="1">
        <v>0.37369999999999998</v>
      </c>
      <c r="Z984" s="1">
        <v>0.3175</v>
      </c>
      <c r="AA984" s="1">
        <v>18514</v>
      </c>
      <c r="AB984" s="1">
        <v>125</v>
      </c>
      <c r="AC984" s="29">
        <v>3152</v>
      </c>
    </row>
    <row r="985" spans="1:29">
      <c r="A985" s="12">
        <v>73</v>
      </c>
      <c r="B985" s="12" t="s">
        <v>966</v>
      </c>
      <c r="C985" s="12">
        <v>73411</v>
      </c>
      <c r="D985" s="12" t="s">
        <v>991</v>
      </c>
      <c r="E985" s="17">
        <v>0.79592931082719387</v>
      </c>
      <c r="F985" s="17">
        <v>0.20402406043084959</v>
      </c>
      <c r="G985" s="13">
        <v>1</v>
      </c>
      <c r="H985" s="13">
        <v>3.9007084095063984</v>
      </c>
      <c r="I985" s="14">
        <v>10.666463921439238</v>
      </c>
      <c r="J985" s="16">
        <v>0.96330000000000005</v>
      </c>
      <c r="K985" s="16">
        <v>0.96330000000000005</v>
      </c>
      <c r="L985" s="13">
        <v>0.56769999999999998</v>
      </c>
      <c r="M985" s="13">
        <v>3.2300000000000002E-2</v>
      </c>
      <c r="N985" s="13">
        <v>9.3899999999999997E-2</v>
      </c>
      <c r="O985" s="13">
        <v>7.2300000000000003E-2</v>
      </c>
      <c r="P985" s="16">
        <v>0</v>
      </c>
      <c r="Q985" s="16">
        <v>0</v>
      </c>
      <c r="R985" s="16">
        <v>0</v>
      </c>
      <c r="S985" s="16">
        <f t="shared" si="32"/>
        <v>0</v>
      </c>
      <c r="T985" s="18">
        <v>1</v>
      </c>
      <c r="U985" s="1">
        <v>0</v>
      </c>
      <c r="V985" s="1">
        <f t="shared" si="31"/>
        <v>0</v>
      </c>
      <c r="W985" s="26"/>
      <c r="X985">
        <v>7.1400000000000005E-2</v>
      </c>
      <c r="Y985" s="1">
        <v>0.32919999999999999</v>
      </c>
      <c r="Z985" s="1">
        <v>0.28460000000000002</v>
      </c>
      <c r="AA985" s="1">
        <v>37508</v>
      </c>
      <c r="AB985" s="1">
        <v>308</v>
      </c>
      <c r="AC985" s="29">
        <v>6544</v>
      </c>
    </row>
    <row r="986" spans="1:29">
      <c r="A986" s="12">
        <v>73</v>
      </c>
      <c r="B986" s="12" t="s">
        <v>966</v>
      </c>
      <c r="C986" s="12">
        <v>73443</v>
      </c>
      <c r="D986" s="12" t="s">
        <v>992</v>
      </c>
      <c r="E986" s="17">
        <v>0.71504046183186432</v>
      </c>
      <c r="F986" s="17">
        <v>0.28493376630070616</v>
      </c>
      <c r="G986" s="13">
        <v>0.98168294287304558</v>
      </c>
      <c r="H986" s="13">
        <v>2.5092701456091162</v>
      </c>
      <c r="I986" s="14">
        <v>10.566252842209989</v>
      </c>
      <c r="J986" s="16">
        <v>0.90290000000000004</v>
      </c>
      <c r="K986" s="16">
        <v>0.90200000000000002</v>
      </c>
      <c r="L986" s="13">
        <v>0.47070000000000001</v>
      </c>
      <c r="M986" s="13">
        <v>2.6800000000000001E-2</v>
      </c>
      <c r="N986" s="13">
        <v>7.9699999999999993E-2</v>
      </c>
      <c r="O986" s="13">
        <v>8.1699999999999995E-2</v>
      </c>
      <c r="P986" s="16">
        <v>0.80019999999999991</v>
      </c>
      <c r="Q986" s="16">
        <v>0.80019999999999991</v>
      </c>
      <c r="R986" s="16">
        <v>0.80019999999999991</v>
      </c>
      <c r="S986" s="16">
        <f t="shared" si="32"/>
        <v>0.80019999999999991</v>
      </c>
      <c r="T986" s="18">
        <v>1</v>
      </c>
      <c r="U986" s="1">
        <v>8.2304526750000004</v>
      </c>
      <c r="V986" s="1">
        <f t="shared" si="31"/>
        <v>2.2225080911908055</v>
      </c>
      <c r="W986" s="25"/>
      <c r="X986">
        <v>0.1091</v>
      </c>
      <c r="Y986" s="1">
        <v>0.56820000000000004</v>
      </c>
      <c r="Z986" s="1">
        <v>0.45</v>
      </c>
      <c r="AA986" s="1">
        <v>40114</v>
      </c>
      <c r="AB986" s="1">
        <v>243</v>
      </c>
      <c r="AC986" s="29">
        <v>7058</v>
      </c>
    </row>
    <row r="987" spans="1:29">
      <c r="A987" s="12">
        <v>73</v>
      </c>
      <c r="B987" s="12" t="s">
        <v>966</v>
      </c>
      <c r="C987" s="12">
        <v>73449</v>
      </c>
      <c r="D987" s="12" t="s">
        <v>993</v>
      </c>
      <c r="E987" s="17">
        <v>0.5707149093025512</v>
      </c>
      <c r="F987" s="17">
        <v>0.42928509069744886</v>
      </c>
      <c r="G987" s="13">
        <v>1</v>
      </c>
      <c r="H987" s="13">
        <v>1.3293792012653223</v>
      </c>
      <c r="I987" s="14">
        <v>10.627091190577001</v>
      </c>
      <c r="J987" s="16">
        <v>1.1780999999999999</v>
      </c>
      <c r="K987" s="16">
        <v>1.177</v>
      </c>
      <c r="L987" s="13">
        <v>0.7248</v>
      </c>
      <c r="M987" s="13">
        <v>2.7199999999999998E-2</v>
      </c>
      <c r="N987" s="13">
        <v>7.3700000000000002E-2</v>
      </c>
      <c r="O987" s="13">
        <v>5.79E-2</v>
      </c>
      <c r="P987" s="16">
        <v>0.96340000000000003</v>
      </c>
      <c r="Q987" s="16">
        <v>0.80200000000000005</v>
      </c>
      <c r="R987" s="16">
        <v>0.92549999999999999</v>
      </c>
      <c r="S987" s="16">
        <f t="shared" si="32"/>
        <v>0.89696666666666669</v>
      </c>
      <c r="T987" s="18">
        <v>1</v>
      </c>
      <c r="U987" s="1">
        <v>13.698630140000001</v>
      </c>
      <c r="V987" s="1">
        <f t="shared" si="31"/>
        <v>2.68775430168734</v>
      </c>
      <c r="W987" s="26"/>
      <c r="X987">
        <v>0.24579999999999999</v>
      </c>
      <c r="Y987" s="1">
        <v>3.1795</v>
      </c>
      <c r="Z987" s="1">
        <v>1.4301999999999999</v>
      </c>
      <c r="AA987" s="1">
        <v>39096</v>
      </c>
      <c r="AB987" s="1">
        <v>365</v>
      </c>
      <c r="AC987" s="29">
        <v>6872</v>
      </c>
    </row>
    <row r="988" spans="1:29">
      <c r="A988" s="12">
        <v>73</v>
      </c>
      <c r="B988" s="12" t="s">
        <v>966</v>
      </c>
      <c r="C988" s="12">
        <v>73461</v>
      </c>
      <c r="D988" s="12" t="s">
        <v>994</v>
      </c>
      <c r="E988" s="17">
        <v>0.9049417689644319</v>
      </c>
      <c r="F988" s="17">
        <v>9.5058231035568153E-2</v>
      </c>
      <c r="G988" s="13">
        <v>0.709310113864702</v>
      </c>
      <c r="H988" s="13">
        <v>9.4884488448844877</v>
      </c>
      <c r="I988" s="14">
        <v>8.0640073470966609</v>
      </c>
      <c r="J988" s="16">
        <v>0.57230000000000003</v>
      </c>
      <c r="K988" s="16">
        <v>0.57230000000000003</v>
      </c>
      <c r="L988" s="13">
        <v>0.14560000000000001</v>
      </c>
      <c r="M988" s="13">
        <v>2.9600000000000001E-2</v>
      </c>
      <c r="N988" s="13">
        <v>0.14460000000000001</v>
      </c>
      <c r="O988" s="13">
        <v>9.4100000000000003E-2</v>
      </c>
      <c r="P988" s="16">
        <v>0</v>
      </c>
      <c r="Q988" s="16">
        <v>0</v>
      </c>
      <c r="R988" s="16">
        <v>0</v>
      </c>
      <c r="S988" s="16">
        <f t="shared" si="32"/>
        <v>0</v>
      </c>
      <c r="T988" s="18">
        <v>0.56157635467980205</v>
      </c>
      <c r="U988" s="1">
        <v>68.965517239999997</v>
      </c>
      <c r="V988" s="1">
        <f t="shared" si="31"/>
        <v>4.2480025098196261</v>
      </c>
      <c r="W988" s="25"/>
      <c r="X988">
        <v>8.1799999999999998E-2</v>
      </c>
      <c r="Y988" s="1">
        <v>4.4499999999999998E-2</v>
      </c>
      <c r="Z988" s="1">
        <v>4.3499999999999997E-2</v>
      </c>
      <c r="AA988" s="1">
        <v>4251</v>
      </c>
      <c r="AB988" s="1">
        <v>29</v>
      </c>
      <c r="AC988" s="29">
        <v>940</v>
      </c>
    </row>
    <row r="989" spans="1:29">
      <c r="A989" s="12">
        <v>73</v>
      </c>
      <c r="B989" s="12" t="s">
        <v>966</v>
      </c>
      <c r="C989" s="12">
        <v>73483</v>
      </c>
      <c r="D989" s="12" t="s">
        <v>995</v>
      </c>
      <c r="E989" s="17">
        <v>0.91239796902114534</v>
      </c>
      <c r="F989" s="17">
        <v>8.7602030978854675E-2</v>
      </c>
      <c r="G989" s="13">
        <v>1</v>
      </c>
      <c r="H989" s="13">
        <v>10.407624633431086</v>
      </c>
      <c r="I989" s="14">
        <v>9.6524587977323826</v>
      </c>
      <c r="J989" s="16">
        <v>0.99429999999999996</v>
      </c>
      <c r="K989" s="16">
        <v>0.99429999999999996</v>
      </c>
      <c r="L989" s="13">
        <v>0.59140000000000004</v>
      </c>
      <c r="M989" s="13">
        <v>2.53E-2</v>
      </c>
      <c r="N989" s="13">
        <v>8.4599999999999995E-2</v>
      </c>
      <c r="O989" s="13">
        <v>4.07E-2</v>
      </c>
      <c r="P989" s="16">
        <v>1</v>
      </c>
      <c r="Q989" s="16">
        <v>0.89090000000000003</v>
      </c>
      <c r="R989" s="16">
        <v>0.89090000000000003</v>
      </c>
      <c r="S989" s="16">
        <f t="shared" si="32"/>
        <v>0.92726666666666668</v>
      </c>
      <c r="T989" s="18">
        <v>0.86638579596749909</v>
      </c>
      <c r="U989" s="1">
        <v>10.30927835</v>
      </c>
      <c r="V989" s="1">
        <f t="shared" si="31"/>
        <v>2.4256234817262685</v>
      </c>
      <c r="W989" s="26"/>
      <c r="X989">
        <v>8.0199999999999994E-2</v>
      </c>
      <c r="Y989" s="1">
        <v>5.5300000000000002E-2</v>
      </c>
      <c r="Z989" s="1">
        <v>5.3800000000000001E-2</v>
      </c>
      <c r="AA989" s="1">
        <v>15717</v>
      </c>
      <c r="AB989" s="1">
        <v>97</v>
      </c>
      <c r="AC989" s="29">
        <v>2910</v>
      </c>
    </row>
    <row r="990" spans="1:29">
      <c r="A990" s="12">
        <v>73</v>
      </c>
      <c r="B990" s="12" t="s">
        <v>966</v>
      </c>
      <c r="C990" s="12">
        <v>73504</v>
      </c>
      <c r="D990" s="12" t="s">
        <v>996</v>
      </c>
      <c r="E990" s="17">
        <v>0.93710340980405826</v>
      </c>
      <c r="F990" s="17">
        <v>6.289659019594171E-2</v>
      </c>
      <c r="G990" s="13">
        <v>0.82308376617786327</v>
      </c>
      <c r="H990" s="13">
        <v>14.890858725761772</v>
      </c>
      <c r="I990" s="14">
        <v>10.264059891753556</v>
      </c>
      <c r="J990" s="16">
        <v>0.75880000000000003</v>
      </c>
      <c r="K990" s="16">
        <v>0.75839999999999996</v>
      </c>
      <c r="L990" s="13">
        <v>0.4582</v>
      </c>
      <c r="M990" s="13">
        <v>3.2500000000000001E-2</v>
      </c>
      <c r="N990" s="13">
        <v>7.5300000000000006E-2</v>
      </c>
      <c r="O990" s="13">
        <v>4.1399999999999999E-2</v>
      </c>
      <c r="P990" s="16">
        <v>0.55220000000000002</v>
      </c>
      <c r="Q990" s="16">
        <v>0.28949999999999998</v>
      </c>
      <c r="R990" s="16">
        <v>0.1595</v>
      </c>
      <c r="S990" s="16">
        <f t="shared" si="32"/>
        <v>0.33373333333333338</v>
      </c>
      <c r="T990" s="18">
        <v>0.74534479230611794</v>
      </c>
      <c r="U990" s="1">
        <v>4.3103448279999999</v>
      </c>
      <c r="V990" s="1">
        <f t="shared" si="31"/>
        <v>1.6696567725050773</v>
      </c>
      <c r="W990" s="25"/>
      <c r="X990">
        <v>3.7400000000000003E-2</v>
      </c>
      <c r="Y990" s="1">
        <v>9.4399999999999998E-2</v>
      </c>
      <c r="Z990" s="1">
        <v>9.0300000000000005E-2</v>
      </c>
      <c r="AA990" s="1">
        <v>36303</v>
      </c>
      <c r="AB990" s="1">
        <v>232</v>
      </c>
      <c r="AC990" s="29">
        <v>7658</v>
      </c>
    </row>
    <row r="991" spans="1:29">
      <c r="A991" s="12">
        <v>73</v>
      </c>
      <c r="B991" s="12" t="s">
        <v>966</v>
      </c>
      <c r="C991" s="12">
        <v>73520</v>
      </c>
      <c r="D991" s="12" t="s">
        <v>997</v>
      </c>
      <c r="E991" s="17">
        <v>0.9244727807748897</v>
      </c>
      <c r="F991" s="17">
        <v>7.5527219225110354E-2</v>
      </c>
      <c r="G991" s="13">
        <v>1</v>
      </c>
      <c r="H991" s="13">
        <v>12.22438391699092</v>
      </c>
      <c r="I991" s="14">
        <v>9.2297507654960054</v>
      </c>
      <c r="J991" s="16">
        <v>0.78249999999999997</v>
      </c>
      <c r="K991" s="16">
        <v>0.78249999999999997</v>
      </c>
      <c r="L991" s="13">
        <v>0.34739999999999999</v>
      </c>
      <c r="M991" s="13">
        <v>2.9399999999999999E-2</v>
      </c>
      <c r="N991" s="13">
        <v>6.6699999999999995E-2</v>
      </c>
      <c r="O991" s="13">
        <v>3.4000000000000002E-2</v>
      </c>
      <c r="P991" s="16">
        <v>0.52670000000000006</v>
      </c>
      <c r="Q991" s="16">
        <v>0.52210000000000001</v>
      </c>
      <c r="R991" s="16">
        <v>0.57899999999999996</v>
      </c>
      <c r="S991" s="16">
        <f t="shared" si="32"/>
        <v>0.54259999999999997</v>
      </c>
      <c r="T991" s="18">
        <v>1</v>
      </c>
      <c r="U991" s="1">
        <v>14.08450704</v>
      </c>
      <c r="V991" s="1">
        <f t="shared" si="31"/>
        <v>2.7136681932570403</v>
      </c>
      <c r="W991" s="26"/>
      <c r="X991">
        <v>2.7199999999999998E-2</v>
      </c>
      <c r="Y991" s="1">
        <v>0.34239999999999998</v>
      </c>
      <c r="Z991" s="1">
        <v>0.2944</v>
      </c>
      <c r="AA991" s="1">
        <v>10120</v>
      </c>
      <c r="AB991" s="1">
        <v>71</v>
      </c>
      <c r="AC991" s="29">
        <v>2043</v>
      </c>
    </row>
    <row r="992" spans="1:29">
      <c r="A992" s="12">
        <v>73</v>
      </c>
      <c r="B992" s="12" t="s">
        <v>966</v>
      </c>
      <c r="C992" s="12">
        <v>73547</v>
      </c>
      <c r="D992" s="12" t="s">
        <v>998</v>
      </c>
      <c r="E992" s="17">
        <v>0.74808935920047026</v>
      </c>
      <c r="F992" s="17">
        <v>0.25191064079952968</v>
      </c>
      <c r="G992" s="13">
        <v>0.48078010175240249</v>
      </c>
      <c r="H992" s="13">
        <v>2.9662004662004664</v>
      </c>
      <c r="I992" s="14">
        <v>8.1324126745009053</v>
      </c>
      <c r="J992" s="16">
        <v>0.69240000000000002</v>
      </c>
      <c r="K992" s="16">
        <v>0.69240000000000002</v>
      </c>
      <c r="L992" s="13">
        <v>0.29089999999999999</v>
      </c>
      <c r="M992" s="13">
        <v>2.1000000000000001E-2</v>
      </c>
      <c r="N992" s="13">
        <v>7.2400000000000006E-2</v>
      </c>
      <c r="O992" s="13">
        <v>8.6400000000000005E-2</v>
      </c>
      <c r="P992" s="16">
        <v>1</v>
      </c>
      <c r="Q992" s="16">
        <v>0.50970000000000004</v>
      </c>
      <c r="R992" s="16">
        <v>1</v>
      </c>
      <c r="S992" s="16">
        <f t="shared" si="32"/>
        <v>0.83656666666666668</v>
      </c>
      <c r="T992" s="18">
        <v>0.83682469680264604</v>
      </c>
      <c r="U992" s="1">
        <v>0</v>
      </c>
      <c r="V992" s="1">
        <f t="shared" si="31"/>
        <v>0</v>
      </c>
      <c r="W992" s="25"/>
      <c r="X992">
        <v>0.24709999999999999</v>
      </c>
      <c r="Y992" s="1">
        <v>0.155</v>
      </c>
      <c r="Z992" s="1">
        <v>0.14410000000000001</v>
      </c>
      <c r="AA992" s="1">
        <v>7393</v>
      </c>
      <c r="AB992" s="1">
        <v>35</v>
      </c>
      <c r="AC992" s="29">
        <v>1287</v>
      </c>
    </row>
    <row r="993" spans="1:29">
      <c r="A993" s="12">
        <v>73</v>
      </c>
      <c r="B993" s="12" t="s">
        <v>966</v>
      </c>
      <c r="C993" s="12">
        <v>73555</v>
      </c>
      <c r="D993" s="12" t="s">
        <v>999</v>
      </c>
      <c r="E993" s="17">
        <v>0.93727407407407404</v>
      </c>
      <c r="F993" s="17">
        <v>6.2725925925925921E-2</v>
      </c>
      <c r="G993" s="13">
        <v>1</v>
      </c>
      <c r="H993" s="13">
        <v>14.935316336166194</v>
      </c>
      <c r="I993" s="14">
        <v>10.426765325491356</v>
      </c>
      <c r="J993" s="16">
        <v>0.98580000000000001</v>
      </c>
      <c r="K993" s="16">
        <v>0.98580000000000001</v>
      </c>
      <c r="L993" s="13">
        <v>0.3992</v>
      </c>
      <c r="M993" s="13">
        <v>5.21E-2</v>
      </c>
      <c r="N993" s="13">
        <v>8.9399999999999993E-2</v>
      </c>
      <c r="O993" s="13">
        <v>5.79E-2</v>
      </c>
      <c r="P993" s="16">
        <v>0.39399999999999996</v>
      </c>
      <c r="Q993" s="16">
        <v>0.45299999999999996</v>
      </c>
      <c r="R993" s="16">
        <v>0.45289999999999997</v>
      </c>
      <c r="S993" s="16">
        <f t="shared" si="32"/>
        <v>0.43330000000000002</v>
      </c>
      <c r="T993" s="18">
        <v>1</v>
      </c>
      <c r="U993" s="1">
        <v>11.9047619</v>
      </c>
      <c r="V993" s="1">
        <f t="shared" si="31"/>
        <v>2.5575963827872741</v>
      </c>
      <c r="W993" s="26"/>
      <c r="X993">
        <v>3.0700000000000002E-2</v>
      </c>
      <c r="Y993" s="1">
        <v>2.5999999999999999E-2</v>
      </c>
      <c r="Z993" s="1">
        <v>2.5600000000000001E-2</v>
      </c>
      <c r="AA993" s="1">
        <v>27075</v>
      </c>
      <c r="AB993" s="1">
        <v>420</v>
      </c>
      <c r="AC993" s="29">
        <v>7098</v>
      </c>
    </row>
    <row r="994" spans="1:29">
      <c r="A994" s="12">
        <v>73</v>
      </c>
      <c r="B994" s="12" t="s">
        <v>966</v>
      </c>
      <c r="C994" s="12">
        <v>73563</v>
      </c>
      <c r="D994" s="12" t="s">
        <v>1000</v>
      </c>
      <c r="E994" s="17">
        <v>0.87072463768115937</v>
      </c>
      <c r="F994" s="17">
        <v>0.12927536231884057</v>
      </c>
      <c r="G994" s="13">
        <v>0.97811295078249039</v>
      </c>
      <c r="H994" s="13">
        <v>6.7293906810035846</v>
      </c>
      <c r="I994" s="14">
        <v>9.0625361772077877</v>
      </c>
      <c r="J994" s="16">
        <v>0.94079999999999997</v>
      </c>
      <c r="K994" s="16">
        <v>0.94079999999999997</v>
      </c>
      <c r="L994" s="13">
        <v>0.59850000000000003</v>
      </c>
      <c r="M994" s="13">
        <v>3.2199999999999999E-2</v>
      </c>
      <c r="N994" s="13">
        <v>5.4300000000000001E-2</v>
      </c>
      <c r="O994" s="13">
        <v>3.7499999999999999E-2</v>
      </c>
      <c r="P994" s="16">
        <v>0.26729999999999998</v>
      </c>
      <c r="Q994" s="16">
        <v>0.26729999999999998</v>
      </c>
      <c r="R994" s="16">
        <v>0.26729999999999998</v>
      </c>
      <c r="S994" s="16">
        <f t="shared" si="32"/>
        <v>0.26729999999999998</v>
      </c>
      <c r="T994" s="18">
        <v>0.91948802642444205</v>
      </c>
      <c r="U994" s="1">
        <v>0</v>
      </c>
      <c r="V994" s="1">
        <f t="shared" si="31"/>
        <v>0</v>
      </c>
      <c r="W994" s="25"/>
      <c r="X994">
        <v>6.8699999999999997E-2</v>
      </c>
      <c r="Y994" s="1">
        <v>6.93E-2</v>
      </c>
      <c r="Z994" s="1">
        <v>6.7000000000000004E-2</v>
      </c>
      <c r="AA994" s="1">
        <v>8623</v>
      </c>
      <c r="AB994" s="1">
        <v>62</v>
      </c>
      <c r="AC994" s="29">
        <v>1597</v>
      </c>
    </row>
    <row r="995" spans="1:29">
      <c r="A995" s="12">
        <v>73</v>
      </c>
      <c r="B995" s="12" t="s">
        <v>966</v>
      </c>
      <c r="C995" s="12">
        <v>73585</v>
      </c>
      <c r="D995" s="12" t="s">
        <v>1001</v>
      </c>
      <c r="E995" s="17">
        <v>0.78950316025282019</v>
      </c>
      <c r="F995" s="17">
        <v>0.21049683974717978</v>
      </c>
      <c r="G995" s="13">
        <v>1</v>
      </c>
      <c r="H995" s="13">
        <v>3.7499524985749573</v>
      </c>
      <c r="I995" s="14">
        <v>10.126591103050316</v>
      </c>
      <c r="J995" s="16">
        <v>0.95799999999999996</v>
      </c>
      <c r="K995" s="16">
        <v>0.95720000000000005</v>
      </c>
      <c r="L995" s="13">
        <v>0.67269999999999996</v>
      </c>
      <c r="M995" s="13">
        <v>2.7300000000000001E-2</v>
      </c>
      <c r="N995" s="13">
        <v>8.6599999999999996E-2</v>
      </c>
      <c r="O995" s="13">
        <v>2.8299999999999999E-2</v>
      </c>
      <c r="P995" s="16">
        <v>0.94499999999999995</v>
      </c>
      <c r="Q995" s="16">
        <v>0.61070000000000002</v>
      </c>
      <c r="R995" s="16">
        <v>0.58350000000000002</v>
      </c>
      <c r="S995" s="16">
        <f t="shared" si="32"/>
        <v>0.71306666666666663</v>
      </c>
      <c r="T995" s="18">
        <v>1</v>
      </c>
      <c r="U995" s="1">
        <v>0</v>
      </c>
      <c r="V995" s="1">
        <f t="shared" si="31"/>
        <v>0</v>
      </c>
      <c r="W995" s="26"/>
      <c r="X995">
        <v>0.10680000000000001</v>
      </c>
      <c r="Y995" s="1">
        <v>0.46629999999999999</v>
      </c>
      <c r="Z995" s="1">
        <v>0.38269999999999998</v>
      </c>
      <c r="AA995" s="1">
        <v>24074</v>
      </c>
      <c r="AB995" s="1">
        <v>182</v>
      </c>
      <c r="AC995" s="29">
        <v>4086</v>
      </c>
    </row>
    <row r="996" spans="1:29">
      <c r="A996" s="12">
        <v>73</v>
      </c>
      <c r="B996" s="12" t="s">
        <v>966</v>
      </c>
      <c r="C996" s="12">
        <v>73616</v>
      </c>
      <c r="D996" s="12" t="s">
        <v>1002</v>
      </c>
      <c r="E996" s="17">
        <v>0.95084159194588647</v>
      </c>
      <c r="F996" s="17">
        <v>4.9119081327670282E-2</v>
      </c>
      <c r="G996" s="13">
        <v>1</v>
      </c>
      <c r="H996" s="13">
        <v>19.342400000000001</v>
      </c>
      <c r="I996" s="14">
        <v>10.143645534009467</v>
      </c>
      <c r="J996" s="16">
        <v>0.80049999999999999</v>
      </c>
      <c r="K996" s="16">
        <v>0.80049999999999999</v>
      </c>
      <c r="L996" s="13">
        <v>0.36599999999999999</v>
      </c>
      <c r="M996" s="13">
        <v>5.5899999999999998E-2</v>
      </c>
      <c r="N996" s="13">
        <v>8.0399999999999999E-2</v>
      </c>
      <c r="O996" s="13">
        <v>4.8899999999999999E-2</v>
      </c>
      <c r="P996" s="16">
        <v>0.22670000000000001</v>
      </c>
      <c r="Q996" s="16">
        <v>0.1593</v>
      </c>
      <c r="R996" s="16">
        <v>0.1593</v>
      </c>
      <c r="S996" s="16">
        <f t="shared" si="32"/>
        <v>0.18176666666666666</v>
      </c>
      <c r="T996" s="18">
        <v>0.81016612239102603</v>
      </c>
      <c r="U996" s="1">
        <v>11.32075472</v>
      </c>
      <c r="V996" s="1">
        <f t="shared" si="31"/>
        <v>2.5112852159693322</v>
      </c>
      <c r="W996" s="25"/>
      <c r="X996">
        <v>0.03</v>
      </c>
      <c r="Y996" s="1">
        <v>9.2999999999999992E-3</v>
      </c>
      <c r="Z996" s="1">
        <v>9.2999999999999992E-3</v>
      </c>
      <c r="AA996" s="1">
        <v>23853</v>
      </c>
      <c r="AB996" s="1">
        <v>265</v>
      </c>
      <c r="AC996" s="29">
        <v>6349</v>
      </c>
    </row>
    <row r="997" spans="1:29">
      <c r="A997" s="12">
        <v>73</v>
      </c>
      <c r="B997" s="12" t="s">
        <v>966</v>
      </c>
      <c r="C997" s="12">
        <v>73622</v>
      </c>
      <c r="D997" s="12" t="s">
        <v>1003</v>
      </c>
      <c r="E997" s="17">
        <v>0.8927758228110122</v>
      </c>
      <c r="F997" s="17">
        <v>0.10722417718898779</v>
      </c>
      <c r="G997" s="13">
        <v>0.85474168435951881</v>
      </c>
      <c r="H997" s="13">
        <v>8.3102119460500958</v>
      </c>
      <c r="I997" s="14">
        <v>8.4830157396146504</v>
      </c>
      <c r="J997" s="16">
        <v>0.75949999999999995</v>
      </c>
      <c r="K997" s="16">
        <v>0.75949999999999995</v>
      </c>
      <c r="L997" s="13">
        <v>0.36759999999999998</v>
      </c>
      <c r="M997" s="13">
        <v>1.8700000000000001E-2</v>
      </c>
      <c r="N997" s="13">
        <v>7.5600000000000001E-2</v>
      </c>
      <c r="O997" s="13">
        <v>3.32E-2</v>
      </c>
      <c r="P997" s="16">
        <v>0.46450000000000002</v>
      </c>
      <c r="Q997" s="16">
        <v>0.46450000000000002</v>
      </c>
      <c r="R997" s="16">
        <v>0.46490000000000004</v>
      </c>
      <c r="S997" s="16">
        <f t="shared" si="32"/>
        <v>0.4646333333333334</v>
      </c>
      <c r="T997" s="18">
        <v>0.67563930013458906</v>
      </c>
      <c r="U997" s="1">
        <v>44.444444439999998</v>
      </c>
      <c r="V997" s="1">
        <f t="shared" si="31"/>
        <v>3.8164905786087826</v>
      </c>
      <c r="W997" s="26"/>
      <c r="X997">
        <v>4.2000000000000003E-2</v>
      </c>
      <c r="Y997" s="1">
        <v>2.3800000000000002E-2</v>
      </c>
      <c r="Z997" s="1">
        <v>2.3599999999999999E-2</v>
      </c>
      <c r="AA997" s="1">
        <v>5609</v>
      </c>
      <c r="AB997" s="1">
        <v>45</v>
      </c>
      <c r="AC997" s="29">
        <v>1247</v>
      </c>
    </row>
    <row r="998" spans="1:29">
      <c r="A998" s="12">
        <v>73</v>
      </c>
      <c r="B998" s="12" t="s">
        <v>966</v>
      </c>
      <c r="C998" s="12">
        <v>73624</v>
      </c>
      <c r="D998" s="12" t="s">
        <v>1004</v>
      </c>
      <c r="E998" s="17">
        <v>0.94357195032870711</v>
      </c>
      <c r="F998" s="17">
        <v>5.6428049671292911E-2</v>
      </c>
      <c r="G998" s="13">
        <v>1</v>
      </c>
      <c r="H998" s="13">
        <v>16.710866752910736</v>
      </c>
      <c r="I998" s="14">
        <v>10.217604621184988</v>
      </c>
      <c r="J998" s="16">
        <v>0.92949999999999999</v>
      </c>
      <c r="K998" s="16">
        <v>0.92949999999999999</v>
      </c>
      <c r="L998" s="13">
        <v>0.50060000000000004</v>
      </c>
      <c r="M998" s="13">
        <v>4.2200000000000001E-2</v>
      </c>
      <c r="N998" s="13">
        <v>6.6100000000000006E-2</v>
      </c>
      <c r="O998" s="13">
        <v>2.69E-2</v>
      </c>
      <c r="P998" s="16">
        <v>0.57240000000000002</v>
      </c>
      <c r="Q998" s="16">
        <v>0.49979999999999997</v>
      </c>
      <c r="R998" s="16">
        <v>0.51280000000000003</v>
      </c>
      <c r="S998" s="16">
        <f t="shared" si="32"/>
        <v>0.52833333333333332</v>
      </c>
      <c r="T998" s="18">
        <v>1</v>
      </c>
      <c r="U998" s="1">
        <v>0</v>
      </c>
      <c r="V998" s="1">
        <f t="shared" si="31"/>
        <v>0</v>
      </c>
      <c r="W998" s="25"/>
      <c r="X998">
        <v>2.8500000000000001E-2</v>
      </c>
      <c r="Y998" s="1">
        <v>5.2499999999999998E-2</v>
      </c>
      <c r="Z998" s="1">
        <v>5.11E-2</v>
      </c>
      <c r="AA998" s="1">
        <v>22305</v>
      </c>
      <c r="AB998" s="1">
        <v>243</v>
      </c>
      <c r="AC998" s="29">
        <v>4831</v>
      </c>
    </row>
    <row r="999" spans="1:29">
      <c r="A999" s="12">
        <v>73</v>
      </c>
      <c r="B999" s="12" t="s">
        <v>966</v>
      </c>
      <c r="C999" s="12">
        <v>73671</v>
      </c>
      <c r="D999" s="12" t="s">
        <v>1005</v>
      </c>
      <c r="E999" s="17">
        <v>0.8218087142966537</v>
      </c>
      <c r="F999" s="17">
        <v>0.17819128570334636</v>
      </c>
      <c r="G999" s="13">
        <v>0.87433047670058917</v>
      </c>
      <c r="H999" s="13">
        <v>4.6099656357388312</v>
      </c>
      <c r="I999" s="14">
        <v>9.4773094028304214</v>
      </c>
      <c r="J999" s="16">
        <v>0.8427</v>
      </c>
      <c r="K999" s="16">
        <v>0.84160000000000001</v>
      </c>
      <c r="L999" s="13">
        <v>0.4773</v>
      </c>
      <c r="M999" s="13">
        <v>1.5100000000000001E-2</v>
      </c>
      <c r="N999" s="13">
        <v>6.2899999999999998E-2</v>
      </c>
      <c r="O999" s="13">
        <v>3.1699999999999999E-2</v>
      </c>
      <c r="P999" s="16">
        <v>1</v>
      </c>
      <c r="Q999" s="16">
        <v>0.59760000000000002</v>
      </c>
      <c r="R999" s="16">
        <v>0.57569999999999999</v>
      </c>
      <c r="S999" s="16">
        <f t="shared" si="32"/>
        <v>0.72443333333333326</v>
      </c>
      <c r="T999" s="18">
        <v>1</v>
      </c>
      <c r="U999" s="1">
        <v>11.627906980000001</v>
      </c>
      <c r="V999" s="1">
        <f t="shared" si="31"/>
        <v>2.5359092044981999</v>
      </c>
      <c r="W999" s="26"/>
      <c r="X999">
        <v>0.21970000000000001</v>
      </c>
      <c r="Y999" s="1">
        <v>0.44929999999999998</v>
      </c>
      <c r="Z999" s="1">
        <v>0.37109999999999999</v>
      </c>
      <c r="AA999" s="1">
        <v>14768</v>
      </c>
      <c r="AB999" s="1">
        <v>86</v>
      </c>
      <c r="AC999" s="29">
        <v>2662</v>
      </c>
    </row>
    <row r="1000" spans="1:29">
      <c r="A1000" s="12">
        <v>73</v>
      </c>
      <c r="B1000" s="12" t="s">
        <v>966</v>
      </c>
      <c r="C1000" s="12">
        <v>73675</v>
      </c>
      <c r="D1000" s="12" t="s">
        <v>1006</v>
      </c>
      <c r="E1000" s="17">
        <v>0.94641959347841698</v>
      </c>
      <c r="F1000" s="17">
        <v>5.3580406521582989E-2</v>
      </c>
      <c r="G1000" s="13">
        <v>1</v>
      </c>
      <c r="H1000" s="13">
        <v>17.639892904953147</v>
      </c>
      <c r="I1000" s="14">
        <v>9.5413692489313302</v>
      </c>
      <c r="J1000" s="16">
        <v>0.87350000000000005</v>
      </c>
      <c r="K1000" s="16">
        <v>0.87350000000000005</v>
      </c>
      <c r="L1000" s="13">
        <v>0.52639999999999998</v>
      </c>
      <c r="M1000" s="13">
        <v>1.5599999999999999E-2</v>
      </c>
      <c r="N1000" s="13">
        <v>7.1900000000000006E-2</v>
      </c>
      <c r="O1000" s="13">
        <v>4.4900000000000002E-2</v>
      </c>
      <c r="P1000" s="16">
        <v>0.45069999999999999</v>
      </c>
      <c r="Q1000" s="16">
        <v>0.38439999999999996</v>
      </c>
      <c r="R1000" s="16">
        <v>0.30659999999999998</v>
      </c>
      <c r="S1000" s="16">
        <f t="shared" si="32"/>
        <v>0.38056666666666666</v>
      </c>
      <c r="T1000" s="18">
        <v>0.95251396648044606</v>
      </c>
      <c r="U1000" s="1">
        <v>0</v>
      </c>
      <c r="V1000" s="1">
        <f t="shared" si="31"/>
        <v>0</v>
      </c>
      <c r="W1000" s="25"/>
      <c r="X1000">
        <v>2.0799999999999999E-2</v>
      </c>
      <c r="Y1000" s="1">
        <v>7.7799999999999994E-2</v>
      </c>
      <c r="Z1000" s="1">
        <v>7.4899999999999994E-2</v>
      </c>
      <c r="AA1000" s="1">
        <v>13284</v>
      </c>
      <c r="AB1000" s="1">
        <v>122</v>
      </c>
      <c r="AC1000" s="29">
        <v>2986</v>
      </c>
    </row>
    <row r="1001" spans="1:29">
      <c r="A1001" s="12">
        <v>73</v>
      </c>
      <c r="B1001" s="12" t="s">
        <v>966</v>
      </c>
      <c r="C1001" s="12">
        <v>73678</v>
      </c>
      <c r="D1001" s="12" t="s">
        <v>107</v>
      </c>
      <c r="E1001" s="17">
        <v>0.90348249391499724</v>
      </c>
      <c r="F1001" s="17">
        <v>9.6517506085002813E-2</v>
      </c>
      <c r="G1001" s="13">
        <v>0.79255082356432704</v>
      </c>
      <c r="H1001" s="13">
        <v>9.3517441860465116</v>
      </c>
      <c r="I1001" s="14">
        <v>9.2764089719458873</v>
      </c>
      <c r="J1001" s="16">
        <v>0.93440000000000001</v>
      </c>
      <c r="K1001" s="16">
        <v>0.93440000000000001</v>
      </c>
      <c r="L1001" s="13">
        <v>0.50129999999999997</v>
      </c>
      <c r="M1001" s="13">
        <v>3.95E-2</v>
      </c>
      <c r="N1001" s="13">
        <v>8.4500000000000006E-2</v>
      </c>
      <c r="O1001" s="13">
        <v>7.8600000000000003E-2</v>
      </c>
      <c r="P1001" s="16">
        <v>0.3886</v>
      </c>
      <c r="Q1001" s="16">
        <v>0.32450000000000001</v>
      </c>
      <c r="R1001" s="16">
        <v>0.32450000000000001</v>
      </c>
      <c r="S1001" s="16">
        <f t="shared" si="32"/>
        <v>0.34586666666666671</v>
      </c>
      <c r="T1001" s="18">
        <v>1</v>
      </c>
      <c r="U1001" s="1">
        <v>0</v>
      </c>
      <c r="V1001" s="1">
        <f t="shared" si="31"/>
        <v>0</v>
      </c>
      <c r="W1001" s="26"/>
      <c r="X1001">
        <v>6.2399999999999997E-2</v>
      </c>
      <c r="Y1001" s="1">
        <v>0.23519999999999999</v>
      </c>
      <c r="Z1001" s="1">
        <v>0.2112</v>
      </c>
      <c r="AA1001" s="1">
        <v>13979</v>
      </c>
      <c r="AB1001" s="1">
        <v>79</v>
      </c>
      <c r="AC1001" s="29">
        <v>2415</v>
      </c>
    </row>
    <row r="1002" spans="1:29">
      <c r="A1002" s="12">
        <v>73</v>
      </c>
      <c r="B1002" s="12" t="s">
        <v>966</v>
      </c>
      <c r="C1002" s="12">
        <v>73686</v>
      </c>
      <c r="D1002" s="12" t="s">
        <v>1007</v>
      </c>
      <c r="E1002" s="17">
        <v>0.91975308641975306</v>
      </c>
      <c r="F1002" s="17">
        <v>8.0246913580246909E-2</v>
      </c>
      <c r="G1002" s="13">
        <v>0.89148753224419608</v>
      </c>
      <c r="H1002" s="13">
        <v>11.434052757793765</v>
      </c>
      <c r="I1002" s="14">
        <v>8.5535251206636271</v>
      </c>
      <c r="J1002" s="16">
        <v>0.83979999999999999</v>
      </c>
      <c r="K1002" s="16">
        <v>0.83979999999999999</v>
      </c>
      <c r="L1002" s="13">
        <v>0.4103</v>
      </c>
      <c r="M1002" s="13">
        <v>3.1899999999999998E-2</v>
      </c>
      <c r="N1002" s="13">
        <v>0.11849999999999999</v>
      </c>
      <c r="O1002" s="13">
        <v>4.8899999999999999E-2</v>
      </c>
      <c r="P1002" s="16">
        <v>0</v>
      </c>
      <c r="Q1002" s="16">
        <v>0</v>
      </c>
      <c r="R1002" s="16">
        <v>0</v>
      </c>
      <c r="S1002" s="16">
        <f t="shared" si="32"/>
        <v>0</v>
      </c>
      <c r="T1002" s="18">
        <v>1</v>
      </c>
      <c r="U1002" s="1">
        <v>0</v>
      </c>
      <c r="V1002" s="1">
        <f t="shared" si="31"/>
        <v>0</v>
      </c>
      <c r="W1002" s="25"/>
      <c r="X1002">
        <v>2.3E-2</v>
      </c>
      <c r="Y1002" s="1">
        <v>4.99E-2</v>
      </c>
      <c r="Z1002" s="1">
        <v>4.87E-2</v>
      </c>
      <c r="AA1002" s="1">
        <v>5933</v>
      </c>
      <c r="AB1002" s="1">
        <v>45</v>
      </c>
      <c r="AC1002" s="29">
        <v>1224</v>
      </c>
    </row>
    <row r="1003" spans="1:29">
      <c r="A1003" s="12">
        <v>73</v>
      </c>
      <c r="B1003" s="12" t="s">
        <v>966</v>
      </c>
      <c r="C1003" s="12">
        <v>73770</v>
      </c>
      <c r="D1003" s="12" t="s">
        <v>427</v>
      </c>
      <c r="E1003" s="17">
        <v>0.88273921200750471</v>
      </c>
      <c r="F1003" s="17">
        <v>0.11726078799249531</v>
      </c>
      <c r="G1003" s="13">
        <v>0.81291306558210474</v>
      </c>
      <c r="H1003" s="13">
        <v>7.5079787234042552</v>
      </c>
      <c r="I1003" s="14">
        <v>8.0705935399495186</v>
      </c>
      <c r="J1003" s="16">
        <v>0.89539999999999997</v>
      </c>
      <c r="K1003" s="16">
        <v>0.89539999999999997</v>
      </c>
      <c r="L1003" s="13">
        <v>0.46939999999999998</v>
      </c>
      <c r="M1003" s="13">
        <v>3.7999999999999999E-2</v>
      </c>
      <c r="N1003" s="13">
        <v>9.06E-2</v>
      </c>
      <c r="O1003" s="13">
        <v>5.62E-2</v>
      </c>
      <c r="P1003" s="16">
        <v>0</v>
      </c>
      <c r="Q1003" s="16">
        <v>0</v>
      </c>
      <c r="R1003" s="16">
        <v>0</v>
      </c>
      <c r="S1003" s="16">
        <f t="shared" si="32"/>
        <v>0</v>
      </c>
      <c r="T1003" s="18">
        <v>0.88982259570494804</v>
      </c>
      <c r="U1003" s="1">
        <v>0</v>
      </c>
      <c r="V1003" s="1">
        <f t="shared" si="31"/>
        <v>0</v>
      </c>
      <c r="W1003" s="26"/>
      <c r="X1003">
        <v>0.2515</v>
      </c>
      <c r="Y1003" s="1">
        <v>0.20519999999999999</v>
      </c>
      <c r="Z1003" s="1">
        <v>0.18659999999999999</v>
      </c>
      <c r="AA1003" s="1">
        <v>3916</v>
      </c>
      <c r="AB1003" s="1">
        <v>22</v>
      </c>
      <c r="AC1003" s="29">
        <v>589</v>
      </c>
    </row>
    <row r="1004" spans="1:29">
      <c r="A1004" s="12">
        <v>73</v>
      </c>
      <c r="B1004" s="12" t="s">
        <v>966</v>
      </c>
      <c r="C1004" s="12">
        <v>73854</v>
      </c>
      <c r="D1004" s="12" t="s">
        <v>1008</v>
      </c>
      <c r="E1004" s="17">
        <v>0.90600924499229585</v>
      </c>
      <c r="F1004" s="17">
        <v>9.3990755007704166E-2</v>
      </c>
      <c r="G1004" s="13">
        <v>0.81929666366095577</v>
      </c>
      <c r="H1004" s="13">
        <v>9.6168224299065415</v>
      </c>
      <c r="I1004" s="14">
        <v>8.421562960400987</v>
      </c>
      <c r="J1004" s="16">
        <v>0.83889999999999998</v>
      </c>
      <c r="K1004" s="16">
        <v>0.83889999999999998</v>
      </c>
      <c r="L1004" s="13">
        <v>0.50870000000000004</v>
      </c>
      <c r="M1004" s="13">
        <v>1.03E-2</v>
      </c>
      <c r="N1004" s="13">
        <v>5.5899999999999998E-2</v>
      </c>
      <c r="O1004" s="13">
        <v>5.2499999999999998E-2</v>
      </c>
      <c r="P1004" s="16">
        <v>0.59189999999999998</v>
      </c>
      <c r="Q1004" s="16">
        <v>0.36420000000000002</v>
      </c>
      <c r="R1004" s="16">
        <v>0.43530000000000002</v>
      </c>
      <c r="S1004" s="16">
        <f t="shared" si="32"/>
        <v>0.46379999999999999</v>
      </c>
      <c r="T1004" s="18">
        <v>0.47765212708669902</v>
      </c>
      <c r="U1004" s="1">
        <v>0</v>
      </c>
      <c r="V1004" s="1">
        <f t="shared" si="31"/>
        <v>0</v>
      </c>
      <c r="W1004" s="25"/>
      <c r="X1004">
        <v>4.3900000000000002E-2</v>
      </c>
      <c r="Y1004" s="1">
        <v>5.8799999999999998E-2</v>
      </c>
      <c r="Z1004" s="1">
        <v>5.7099999999999998E-2</v>
      </c>
      <c r="AA1004" s="1">
        <v>5503</v>
      </c>
      <c r="AB1004" s="1">
        <v>36</v>
      </c>
      <c r="AC1004" s="29">
        <v>1015</v>
      </c>
    </row>
    <row r="1005" spans="1:29">
      <c r="A1005" s="12">
        <v>73</v>
      </c>
      <c r="B1005" s="12" t="s">
        <v>966</v>
      </c>
      <c r="C1005" s="12">
        <v>73861</v>
      </c>
      <c r="D1005" s="12" t="s">
        <v>1009</v>
      </c>
      <c r="E1005" s="17">
        <v>0.778220559531555</v>
      </c>
      <c r="F1005" s="17">
        <v>0.22177944046844503</v>
      </c>
      <c r="G1005" s="13">
        <v>0.92688074777627016</v>
      </c>
      <c r="H1005" s="13">
        <v>3.5076979472140764</v>
      </c>
      <c r="I1005" s="14">
        <v>9.4171106091724468</v>
      </c>
      <c r="J1005" s="16">
        <v>0.87239999999999995</v>
      </c>
      <c r="K1005" s="16">
        <v>0.87239999999999995</v>
      </c>
      <c r="L1005" s="13">
        <v>0.65749999999999997</v>
      </c>
      <c r="M1005" s="13">
        <v>1.9900000000000001E-2</v>
      </c>
      <c r="N1005" s="13">
        <v>7.6300000000000007E-2</v>
      </c>
      <c r="O1005" s="13">
        <v>5.8299999999999998E-2</v>
      </c>
      <c r="P1005" s="16">
        <v>0.89959999999999996</v>
      </c>
      <c r="Q1005" s="16">
        <v>0.89959999999999996</v>
      </c>
      <c r="R1005" s="16">
        <v>0.89959999999999996</v>
      </c>
      <c r="S1005" s="16">
        <f t="shared" si="32"/>
        <v>0.89959999999999996</v>
      </c>
      <c r="T1005" s="18">
        <v>0.93650000000000011</v>
      </c>
      <c r="U1005" s="1">
        <v>0</v>
      </c>
      <c r="V1005" s="1">
        <f t="shared" si="31"/>
        <v>0</v>
      </c>
      <c r="W1005" s="26"/>
      <c r="X1005">
        <v>0.1003</v>
      </c>
      <c r="Y1005" s="1">
        <v>0.17319999999999999</v>
      </c>
      <c r="Z1005" s="1">
        <v>0.15970000000000001</v>
      </c>
      <c r="AA1005" s="1">
        <v>13031</v>
      </c>
      <c r="AB1005" s="1">
        <v>82</v>
      </c>
      <c r="AC1005" s="29">
        <v>2373</v>
      </c>
    </row>
    <row r="1006" spans="1:29">
      <c r="A1006" s="12">
        <v>73</v>
      </c>
      <c r="B1006" s="12" t="s">
        <v>966</v>
      </c>
      <c r="C1006" s="12">
        <v>73870</v>
      </c>
      <c r="D1006" s="12" t="s">
        <v>1010</v>
      </c>
      <c r="E1006" s="17">
        <v>0.93986384266263234</v>
      </c>
      <c r="F1006" s="17">
        <v>6.0136157337367623E-2</v>
      </c>
      <c r="G1006" s="13">
        <v>0.80930517294153659</v>
      </c>
      <c r="H1006" s="13">
        <v>15.596234309623432</v>
      </c>
      <c r="I1006" s="14">
        <v>8.9787865533020028</v>
      </c>
      <c r="J1006" s="16">
        <v>0.79479999999999995</v>
      </c>
      <c r="K1006" s="16">
        <v>0.79479999999999995</v>
      </c>
      <c r="L1006" s="13">
        <v>0.39800000000000002</v>
      </c>
      <c r="M1006" s="13">
        <v>3.7499999999999999E-2</v>
      </c>
      <c r="N1006" s="13">
        <v>9.3700000000000006E-2</v>
      </c>
      <c r="O1006" s="13">
        <v>3.2300000000000002E-2</v>
      </c>
      <c r="P1006" s="16">
        <v>0.31180000000000002</v>
      </c>
      <c r="Q1006" s="16">
        <v>0.31180000000000002</v>
      </c>
      <c r="R1006" s="16">
        <v>0.31180000000000002</v>
      </c>
      <c r="S1006" s="16">
        <f t="shared" si="32"/>
        <v>0.31180000000000002</v>
      </c>
      <c r="T1006" s="18">
        <v>0.65876598946576292</v>
      </c>
      <c r="U1006" s="1">
        <v>66.666666669999998</v>
      </c>
      <c r="V1006" s="1">
        <f t="shared" si="31"/>
        <v>4.2145936904229391</v>
      </c>
      <c r="W1006" s="25"/>
      <c r="X1006">
        <v>2.1700000000000001E-2</v>
      </c>
      <c r="Y1006" s="1">
        <v>4.5699999999999998E-2</v>
      </c>
      <c r="Z1006" s="1">
        <v>4.4699999999999997E-2</v>
      </c>
      <c r="AA1006" s="1">
        <v>9556</v>
      </c>
      <c r="AB1006" s="1">
        <v>60</v>
      </c>
      <c r="AC1006" s="29">
        <v>1893</v>
      </c>
    </row>
    <row r="1007" spans="1:29">
      <c r="A1007" s="12">
        <v>73</v>
      </c>
      <c r="B1007" s="12" t="s">
        <v>966</v>
      </c>
      <c r="C1007" s="12">
        <v>73873</v>
      </c>
      <c r="D1007" s="12" t="s">
        <v>1011</v>
      </c>
      <c r="E1007" s="17">
        <v>0.92120970951054515</v>
      </c>
      <c r="F1007" s="17">
        <v>7.8790290489454837E-2</v>
      </c>
      <c r="G1007" s="13">
        <v>0.9613618974751339</v>
      </c>
      <c r="H1007" s="13">
        <v>11.662468513853904</v>
      </c>
      <c r="I1007" s="14">
        <v>8.5225786636925758</v>
      </c>
      <c r="J1007" s="16">
        <v>0.90539999999999998</v>
      </c>
      <c r="K1007" s="16">
        <v>0.90539999999999998</v>
      </c>
      <c r="L1007" s="13">
        <v>0.37409999999999999</v>
      </c>
      <c r="M1007" s="13">
        <v>4.3999999999999997E-2</v>
      </c>
      <c r="N1007" s="13">
        <v>7.6899999999999996E-2</v>
      </c>
      <c r="O1007" s="13">
        <v>5.0099999999999999E-2</v>
      </c>
      <c r="P1007" s="16">
        <v>0.55390000000000006</v>
      </c>
      <c r="Q1007" s="16">
        <v>0.42330000000000001</v>
      </c>
      <c r="R1007" s="16">
        <v>0.41840000000000005</v>
      </c>
      <c r="S1007" s="16">
        <f t="shared" si="32"/>
        <v>0.46520000000000006</v>
      </c>
      <c r="T1007" s="18">
        <v>0.83059788980070293</v>
      </c>
      <c r="U1007" s="1">
        <v>0</v>
      </c>
      <c r="V1007" s="1">
        <f t="shared" si="31"/>
        <v>0</v>
      </c>
      <c r="W1007" s="26"/>
      <c r="X1007">
        <v>2.3E-2</v>
      </c>
      <c r="Y1007" s="1">
        <v>3.6600000000000001E-2</v>
      </c>
      <c r="Z1007" s="1">
        <v>3.5999999999999997E-2</v>
      </c>
      <c r="AA1007" s="1">
        <v>5280</v>
      </c>
      <c r="AB1007" s="1">
        <v>31</v>
      </c>
      <c r="AC1007" s="29">
        <v>910</v>
      </c>
    </row>
    <row r="1008" spans="1:29">
      <c r="A1008" s="12">
        <v>76</v>
      </c>
      <c r="B1008" s="12" t="s">
        <v>1012</v>
      </c>
      <c r="C1008" s="12">
        <v>76001</v>
      </c>
      <c r="D1008" s="12" t="s">
        <v>1037</v>
      </c>
      <c r="E1008" s="17">
        <v>0.41987412831918575</v>
      </c>
      <c r="F1008" s="17">
        <v>0.58012431770944617</v>
      </c>
      <c r="G1008" s="13">
        <v>1</v>
      </c>
      <c r="H1008" s="13">
        <v>0.72376529361736319</v>
      </c>
      <c r="I1008" s="14">
        <v>14.760991480461737</v>
      </c>
      <c r="J1008" s="16">
        <v>0.7903</v>
      </c>
      <c r="K1008" s="16">
        <v>0.78769999999999996</v>
      </c>
      <c r="L1008" s="13">
        <v>0.48830000000000001</v>
      </c>
      <c r="M1008" s="13">
        <v>4.41E-2</v>
      </c>
      <c r="N1008" s="13">
        <v>8.1299999999999997E-2</v>
      </c>
      <c r="O1008" s="13">
        <v>7.0900000000000005E-2</v>
      </c>
      <c r="P1008" s="16">
        <v>0.88180000000000003</v>
      </c>
      <c r="Q1008" s="16">
        <v>0.87620000000000009</v>
      </c>
      <c r="R1008" s="16"/>
      <c r="S1008" s="16">
        <f t="shared" si="32"/>
        <v>0.58599999999999997</v>
      </c>
      <c r="T1008" s="18">
        <v>0.90561081926902798</v>
      </c>
      <c r="U1008" s="1">
        <v>9.6661329540000001</v>
      </c>
      <c r="V1008" s="1">
        <f t="shared" si="31"/>
        <v>2.3670735773172962</v>
      </c>
      <c r="W1008" s="26"/>
      <c r="X1008">
        <v>0.42709999999999998</v>
      </c>
      <c r="Y1008" s="1">
        <v>15.6379</v>
      </c>
      <c r="Z1008" s="1">
        <v>2.8117000000000001</v>
      </c>
      <c r="AA1008" s="1">
        <v>2280171</v>
      </c>
      <c r="AB1008" s="1">
        <v>16863</v>
      </c>
      <c r="AC1008" s="29">
        <v>335394</v>
      </c>
    </row>
    <row r="1009" spans="1:29">
      <c r="A1009" s="12">
        <v>76</v>
      </c>
      <c r="B1009" s="12" t="s">
        <v>1012</v>
      </c>
      <c r="C1009" s="12">
        <v>76020</v>
      </c>
      <c r="D1009" s="12" t="s">
        <v>1013</v>
      </c>
      <c r="E1009" s="17">
        <v>0.80367966911502531</v>
      </c>
      <c r="F1009" s="17">
        <v>0.19624901946801682</v>
      </c>
      <c r="G1009" s="13">
        <v>0.94177300201477498</v>
      </c>
      <c r="H1009" s="13">
        <v>4.0937159462404651</v>
      </c>
      <c r="I1009" s="14">
        <v>9.5485254266010706</v>
      </c>
      <c r="J1009" s="16">
        <v>0.62419999999999998</v>
      </c>
      <c r="K1009" s="16">
        <v>0.62419999999999998</v>
      </c>
      <c r="L1009" s="13">
        <v>0.2949</v>
      </c>
      <c r="M1009" s="13">
        <v>7.3599999999999999E-2</v>
      </c>
      <c r="N1009" s="13">
        <v>9.5899999999999999E-2</v>
      </c>
      <c r="O1009" s="13">
        <v>8.2900000000000001E-2</v>
      </c>
      <c r="P1009" s="16">
        <v>0.82400000000000007</v>
      </c>
      <c r="Q1009" s="16">
        <v>0.55459999999999998</v>
      </c>
      <c r="R1009" s="16">
        <v>0.82400000000000007</v>
      </c>
      <c r="S1009" s="16">
        <f t="shared" si="32"/>
        <v>0.73420000000000007</v>
      </c>
      <c r="T1009" s="18">
        <v>0.64595440321859598</v>
      </c>
      <c r="U1009" s="1">
        <v>17.543859650000002</v>
      </c>
      <c r="V1009" s="1">
        <f t="shared" si="31"/>
        <v>2.9201387180829914</v>
      </c>
      <c r="W1009" s="25"/>
      <c r="X1009">
        <v>4.1399999999999999E-2</v>
      </c>
      <c r="Y1009" s="1">
        <v>0.58050000000000002</v>
      </c>
      <c r="Z1009" s="1">
        <v>0.4577</v>
      </c>
      <c r="AA1009" s="1">
        <v>14381</v>
      </c>
      <c r="AB1009" s="1">
        <v>114</v>
      </c>
      <c r="AC1009" s="29">
        <v>2873</v>
      </c>
    </row>
    <row r="1010" spans="1:29">
      <c r="A1010" s="12">
        <v>76</v>
      </c>
      <c r="B1010" s="12" t="s">
        <v>1012</v>
      </c>
      <c r="C1010" s="12">
        <v>76036</v>
      </c>
      <c r="D1010" s="12" t="s">
        <v>1014</v>
      </c>
      <c r="E1010" s="17">
        <v>0.61352657004830913</v>
      </c>
      <c r="F1010" s="17">
        <v>0.38647342995169082</v>
      </c>
      <c r="G1010" s="13">
        <v>0.76403664944200789</v>
      </c>
      <c r="H1010" s="13">
        <v>1.5872665784443465</v>
      </c>
      <c r="I1010" s="14">
        <v>9.7754268824686097</v>
      </c>
      <c r="J1010" s="16">
        <v>0.63380000000000003</v>
      </c>
      <c r="K1010" s="16">
        <v>0.63280000000000003</v>
      </c>
      <c r="L1010" s="13">
        <v>0.3871</v>
      </c>
      <c r="M1010" s="13">
        <v>6.4199999999999993E-2</v>
      </c>
      <c r="N1010" s="13">
        <v>9.35E-2</v>
      </c>
      <c r="O1010" s="13">
        <v>7.5899999999999995E-2</v>
      </c>
      <c r="P1010" s="16">
        <v>0.56659999999999999</v>
      </c>
      <c r="Q1010" s="16">
        <v>0.56399999999999995</v>
      </c>
      <c r="R1010" s="16">
        <v>0.56640000000000001</v>
      </c>
      <c r="S1010" s="16">
        <f t="shared" si="32"/>
        <v>0.56566666666666665</v>
      </c>
      <c r="T1010" s="18">
        <v>0.8183139534883721</v>
      </c>
      <c r="U1010" s="1">
        <v>23.25581395</v>
      </c>
      <c r="V1010" s="1">
        <f t="shared" si="31"/>
        <v>3.1886563391633942</v>
      </c>
      <c r="W1010" s="26"/>
      <c r="X1010">
        <v>3.7400000000000003E-2</v>
      </c>
      <c r="Y1010" s="1">
        <v>1.7084999999999999</v>
      </c>
      <c r="Z1010" s="1">
        <v>0.99639999999999995</v>
      </c>
      <c r="AA1010" s="1">
        <v>24590</v>
      </c>
      <c r="AB1010" s="1">
        <v>129</v>
      </c>
      <c r="AC1010" s="29">
        <v>4468</v>
      </c>
    </row>
    <row r="1011" spans="1:29">
      <c r="A1011" s="12">
        <v>76</v>
      </c>
      <c r="B1011" s="12" t="s">
        <v>1012</v>
      </c>
      <c r="C1011" s="12">
        <v>76041</v>
      </c>
      <c r="D1011" s="12" t="s">
        <v>1015</v>
      </c>
      <c r="E1011" s="17">
        <v>0.8072392375240951</v>
      </c>
      <c r="F1011" s="17">
        <v>0.1927607624759049</v>
      </c>
      <c r="G1011" s="13">
        <v>1</v>
      </c>
      <c r="H1011" s="13">
        <v>4.1866148292141068</v>
      </c>
      <c r="I1011" s="14">
        <v>9.8350480993136067</v>
      </c>
      <c r="J1011" s="16">
        <v>0.67569999999999997</v>
      </c>
      <c r="K1011" s="16">
        <v>0.67569999999999997</v>
      </c>
      <c r="L1011" s="13">
        <v>0.29980000000000001</v>
      </c>
      <c r="M1011" s="13">
        <v>7.1800000000000003E-2</v>
      </c>
      <c r="N1011" s="13">
        <v>0.1123</v>
      </c>
      <c r="O1011" s="13">
        <v>9.74E-2</v>
      </c>
      <c r="P1011" s="16">
        <v>0.4819</v>
      </c>
      <c r="Q1011" s="16">
        <v>0.4819</v>
      </c>
      <c r="R1011" s="16">
        <v>0.48219999999999996</v>
      </c>
      <c r="S1011" s="16">
        <f t="shared" si="32"/>
        <v>0.48199999999999998</v>
      </c>
      <c r="T1011" s="18">
        <v>0.52164073550212098</v>
      </c>
      <c r="U1011" s="1">
        <v>8</v>
      </c>
      <c r="V1011" s="1">
        <f t="shared" si="31"/>
        <v>2.1972245773362196</v>
      </c>
      <c r="W1011" s="25"/>
      <c r="X1011">
        <v>3.2399999999999998E-2</v>
      </c>
      <c r="Y1011" s="1">
        <v>0.1545</v>
      </c>
      <c r="Z1011" s="1">
        <v>0.14369999999999999</v>
      </c>
      <c r="AA1011" s="1">
        <v>17894</v>
      </c>
      <c r="AB1011" s="1">
        <v>125</v>
      </c>
      <c r="AC1011" s="29">
        <v>3819</v>
      </c>
    </row>
    <row r="1012" spans="1:29">
      <c r="A1012" s="12">
        <v>76</v>
      </c>
      <c r="B1012" s="12" t="s">
        <v>1012</v>
      </c>
      <c r="C1012" s="12">
        <v>76054</v>
      </c>
      <c r="D1012" s="12" t="s">
        <v>26</v>
      </c>
      <c r="E1012" s="17">
        <v>0.88930019390093429</v>
      </c>
      <c r="F1012" s="17">
        <v>0.11069980609906575</v>
      </c>
      <c r="G1012" s="13">
        <v>1</v>
      </c>
      <c r="H1012" s="13">
        <v>8.0206677265500801</v>
      </c>
      <c r="I1012" s="14">
        <v>8.6436496153687958</v>
      </c>
      <c r="J1012" s="16">
        <v>0.68889999999999996</v>
      </c>
      <c r="K1012" s="16">
        <v>0.68889999999999996</v>
      </c>
      <c r="L1012" s="13">
        <v>0.43280000000000002</v>
      </c>
      <c r="M1012" s="13">
        <v>6.3500000000000001E-2</v>
      </c>
      <c r="N1012" s="13">
        <v>8.6999999999999994E-2</v>
      </c>
      <c r="O1012" s="13">
        <v>3.6400000000000002E-2</v>
      </c>
      <c r="P1012" s="16">
        <v>1</v>
      </c>
      <c r="Q1012" s="16">
        <v>0.40720000000000001</v>
      </c>
      <c r="R1012" s="16">
        <v>1</v>
      </c>
      <c r="S1012" s="16">
        <f t="shared" si="32"/>
        <v>0.8024</v>
      </c>
      <c r="T1012" s="18">
        <v>0.81238095238095198</v>
      </c>
      <c r="U1012" s="1">
        <v>0</v>
      </c>
      <c r="V1012" s="1">
        <f t="shared" si="31"/>
        <v>0</v>
      </c>
      <c r="W1012" s="26"/>
      <c r="X1012">
        <v>4.7600000000000003E-2</v>
      </c>
      <c r="Y1012" s="1">
        <v>3.7999999999999999E-2</v>
      </c>
      <c r="Z1012" s="1">
        <v>3.73E-2</v>
      </c>
      <c r="AA1012" s="1">
        <v>5543</v>
      </c>
      <c r="AB1012" s="1">
        <v>37</v>
      </c>
      <c r="AC1012" s="29">
        <v>1209</v>
      </c>
    </row>
    <row r="1013" spans="1:29">
      <c r="A1013" s="12">
        <v>76</v>
      </c>
      <c r="B1013" s="12" t="s">
        <v>1012</v>
      </c>
      <c r="C1013" s="12">
        <v>76100</v>
      </c>
      <c r="D1013" s="12" t="s">
        <v>169</v>
      </c>
      <c r="E1013" s="17">
        <v>0.84895155459146787</v>
      </c>
      <c r="F1013" s="17">
        <v>0.15104844540853218</v>
      </c>
      <c r="G1013" s="13">
        <v>0.83960660514813013</v>
      </c>
      <c r="H1013" s="13">
        <v>5.617703349282297</v>
      </c>
      <c r="I1013" s="14">
        <v>9.5346677286247079</v>
      </c>
      <c r="J1013" s="16">
        <v>0.67730000000000001</v>
      </c>
      <c r="K1013" s="16">
        <v>0.67730000000000001</v>
      </c>
      <c r="L1013" s="13">
        <v>0.31929999999999997</v>
      </c>
      <c r="M1013" s="13">
        <v>8.0699999999999994E-2</v>
      </c>
      <c r="N1013" s="13">
        <v>0.10929999999999999</v>
      </c>
      <c r="O1013" s="13">
        <v>7.6200000000000004E-2</v>
      </c>
      <c r="P1013" s="16">
        <v>0.69220000000000004</v>
      </c>
      <c r="Q1013" s="16">
        <v>0.69230000000000003</v>
      </c>
      <c r="R1013" s="16">
        <v>0.43770000000000003</v>
      </c>
      <c r="S1013" s="16">
        <f t="shared" si="32"/>
        <v>0.60740000000000005</v>
      </c>
      <c r="T1013" s="18">
        <v>0.81481481481481399</v>
      </c>
      <c r="U1013" s="1">
        <v>54.945054949999999</v>
      </c>
      <c r="V1013" s="1">
        <f t="shared" si="31"/>
        <v>4.0243700474738775</v>
      </c>
      <c r="W1013" s="25"/>
      <c r="X1013">
        <v>3.09E-2</v>
      </c>
      <c r="Y1013" s="1">
        <v>7.1999999999999995E-2</v>
      </c>
      <c r="Z1013" s="1">
        <v>6.9500000000000006E-2</v>
      </c>
      <c r="AA1013" s="1">
        <v>16071</v>
      </c>
      <c r="AB1013" s="1">
        <v>91</v>
      </c>
      <c r="AC1013" s="29">
        <v>3284</v>
      </c>
    </row>
    <row r="1014" spans="1:29">
      <c r="A1014" s="12">
        <v>76</v>
      </c>
      <c r="B1014" s="12" t="s">
        <v>1012</v>
      </c>
      <c r="C1014" s="12">
        <v>76109</v>
      </c>
      <c r="D1014" s="12" t="s">
        <v>1016</v>
      </c>
      <c r="E1014" s="17">
        <v>0.76687677627296258</v>
      </c>
      <c r="F1014" s="17">
        <v>0.23312004826699267</v>
      </c>
      <c r="G1014" s="13">
        <v>0.9715700490543917</v>
      </c>
      <c r="H1014" s="13">
        <v>3.2895769199335279</v>
      </c>
      <c r="I1014" s="14">
        <v>12.660061215579226</v>
      </c>
      <c r="J1014" s="16">
        <v>0.63149999999999995</v>
      </c>
      <c r="K1014" s="16">
        <v>0.62939999999999996</v>
      </c>
      <c r="L1014" s="13">
        <v>0.32340000000000002</v>
      </c>
      <c r="M1014" s="13">
        <v>3.3099999999999997E-2</v>
      </c>
      <c r="N1014" s="13">
        <v>0.13519999999999999</v>
      </c>
      <c r="O1014" s="13">
        <v>0.10390000000000001</v>
      </c>
      <c r="P1014" s="16">
        <v>0.7279000000000001</v>
      </c>
      <c r="Q1014" s="16">
        <v>0.72719999999999996</v>
      </c>
      <c r="R1014" s="16">
        <v>0.72950000000000004</v>
      </c>
      <c r="S1014" s="16">
        <f t="shared" si="32"/>
        <v>0.72820000000000007</v>
      </c>
      <c r="T1014" s="18">
        <v>0.66549325642548096</v>
      </c>
      <c r="U1014" s="1">
        <v>16.399552740000001</v>
      </c>
      <c r="V1014" s="1">
        <f t="shared" si="31"/>
        <v>2.8564445012924136</v>
      </c>
      <c r="W1014" s="26"/>
      <c r="X1014">
        <v>0.2132</v>
      </c>
      <c r="Y1014" s="1">
        <v>0.1164</v>
      </c>
      <c r="Z1014" s="1">
        <v>0.1101</v>
      </c>
      <c r="AA1014" s="1">
        <v>328686</v>
      </c>
      <c r="AB1014" s="1">
        <v>2683</v>
      </c>
      <c r="AC1014" s="29">
        <v>84497</v>
      </c>
    </row>
    <row r="1015" spans="1:29">
      <c r="A1015" s="12">
        <v>76</v>
      </c>
      <c r="B1015" s="12" t="s">
        <v>1012</v>
      </c>
      <c r="C1015" s="12">
        <v>76111</v>
      </c>
      <c r="D1015" s="12" t="s">
        <v>1017</v>
      </c>
      <c r="E1015" s="17">
        <v>0.48278785706407851</v>
      </c>
      <c r="F1015" s="17">
        <v>0.51721214293592144</v>
      </c>
      <c r="G1015" s="13">
        <v>1</v>
      </c>
      <c r="H1015" s="13">
        <v>0.93343017831916197</v>
      </c>
      <c r="I1015" s="14">
        <v>11.884992342991008</v>
      </c>
      <c r="J1015" s="16">
        <v>0.74209999999999998</v>
      </c>
      <c r="K1015" s="16">
        <v>0.74060000000000004</v>
      </c>
      <c r="L1015" s="13">
        <v>0.46089999999999998</v>
      </c>
      <c r="M1015" s="13">
        <v>4.9099999999999998E-2</v>
      </c>
      <c r="N1015" s="13">
        <v>9.8799999999999999E-2</v>
      </c>
      <c r="O1015" s="13">
        <v>6.93E-2</v>
      </c>
      <c r="P1015" s="16">
        <v>0.88209999999999988</v>
      </c>
      <c r="Q1015" s="16">
        <v>0.84699999999999998</v>
      </c>
      <c r="R1015" s="16">
        <v>0.90769999999999995</v>
      </c>
      <c r="S1015" s="16">
        <f t="shared" si="32"/>
        <v>0.87893333333333334</v>
      </c>
      <c r="T1015" s="18">
        <v>1</v>
      </c>
      <c r="U1015" s="1">
        <v>9.4117647059999996</v>
      </c>
      <c r="V1015" s="1">
        <f t="shared" si="31"/>
        <v>2.3429363885289125</v>
      </c>
      <c r="W1015" s="25"/>
      <c r="X1015">
        <v>0.28820000000000001</v>
      </c>
      <c r="Y1015" s="1">
        <v>0.72399999999999998</v>
      </c>
      <c r="Z1015" s="1">
        <v>0.54469999999999996</v>
      </c>
      <c r="AA1015" s="1">
        <v>132138</v>
      </c>
      <c r="AB1015" s="1">
        <v>850</v>
      </c>
      <c r="AC1015" s="29">
        <v>20302</v>
      </c>
    </row>
    <row r="1016" spans="1:29">
      <c r="A1016" s="12">
        <v>76</v>
      </c>
      <c r="B1016" s="12" t="s">
        <v>1012</v>
      </c>
      <c r="C1016" s="12">
        <v>76113</v>
      </c>
      <c r="D1016" s="12" t="s">
        <v>1018</v>
      </c>
      <c r="E1016" s="17">
        <v>0.60334900892190035</v>
      </c>
      <c r="F1016" s="17">
        <v>0.39665099107809959</v>
      </c>
      <c r="G1016" s="13">
        <v>0.87106159794801119</v>
      </c>
      <c r="H1016" s="13">
        <v>1.5209395080877466</v>
      </c>
      <c r="I1016" s="14">
        <v>10.032496233099662</v>
      </c>
      <c r="J1016" s="16">
        <v>0.67300000000000004</v>
      </c>
      <c r="K1016" s="16">
        <v>0.67279999999999995</v>
      </c>
      <c r="L1016" s="13">
        <v>0.42459999999999998</v>
      </c>
      <c r="M1016" s="13">
        <v>5.5599999999999997E-2</v>
      </c>
      <c r="N1016" s="13">
        <v>7.8399999999999997E-2</v>
      </c>
      <c r="O1016" s="13">
        <v>4.3400000000000001E-2</v>
      </c>
      <c r="P1016" s="16">
        <v>0.55710000000000004</v>
      </c>
      <c r="Q1016" s="16">
        <v>0.51490000000000002</v>
      </c>
      <c r="R1016" s="16">
        <v>0.5514</v>
      </c>
      <c r="S1016" s="16">
        <f t="shared" si="32"/>
        <v>0.54113333333333336</v>
      </c>
      <c r="T1016" s="18">
        <v>0.93992248062015504</v>
      </c>
      <c r="U1016" s="1">
        <v>18.404907980000001</v>
      </c>
      <c r="V1016" s="1">
        <f t="shared" si="31"/>
        <v>2.9655260227328415</v>
      </c>
      <c r="W1016" s="26"/>
      <c r="X1016">
        <v>0.34250000000000003</v>
      </c>
      <c r="Y1016" s="1">
        <v>0.35020000000000001</v>
      </c>
      <c r="Z1016" s="1">
        <v>0.30020000000000002</v>
      </c>
      <c r="AA1016" s="1">
        <v>25391</v>
      </c>
      <c r="AB1016" s="1">
        <v>163</v>
      </c>
      <c r="AC1016" s="29">
        <v>4607</v>
      </c>
    </row>
    <row r="1017" spans="1:29">
      <c r="A1017" s="12">
        <v>76</v>
      </c>
      <c r="B1017" s="12" t="s">
        <v>1012</v>
      </c>
      <c r="C1017" s="12">
        <v>76122</v>
      </c>
      <c r="D1017" s="12" t="s">
        <v>1019</v>
      </c>
      <c r="E1017" s="17">
        <v>0.79893067189449296</v>
      </c>
      <c r="F1017" s="17">
        <v>0.20106932810550704</v>
      </c>
      <c r="G1017" s="13">
        <v>0.94793215299364775</v>
      </c>
      <c r="H1017" s="13">
        <v>3.9727047146401984</v>
      </c>
      <c r="I1017" s="14">
        <v>10.241957791820013</v>
      </c>
      <c r="J1017" s="16">
        <v>0.62450000000000006</v>
      </c>
      <c r="K1017" s="16">
        <v>0.62450000000000006</v>
      </c>
      <c r="L1017" s="13">
        <v>0.33910000000000001</v>
      </c>
      <c r="M1017" s="13">
        <v>7.4800000000000005E-2</v>
      </c>
      <c r="N1017" s="13">
        <v>9.1999999999999998E-2</v>
      </c>
      <c r="O1017" s="13">
        <v>8.0199999999999994E-2</v>
      </c>
      <c r="P1017" s="16">
        <v>0.88200000000000001</v>
      </c>
      <c r="Q1017" s="16">
        <v>0.83299999999999996</v>
      </c>
      <c r="R1017" s="16">
        <v>0.82510000000000006</v>
      </c>
      <c r="S1017" s="16">
        <f t="shared" si="32"/>
        <v>0.8466999999999999</v>
      </c>
      <c r="T1017" s="18">
        <v>0.82692307692307698</v>
      </c>
      <c r="U1017" s="1">
        <v>29.76190476</v>
      </c>
      <c r="V1017" s="1">
        <f t="shared" si="31"/>
        <v>3.4262770659972595</v>
      </c>
      <c r="W1017" s="25"/>
      <c r="X1017">
        <v>9.5799999999999996E-2</v>
      </c>
      <c r="Y1017" s="1">
        <v>0.622</v>
      </c>
      <c r="Z1017" s="1">
        <v>0.48370000000000002</v>
      </c>
      <c r="AA1017" s="1">
        <v>30115</v>
      </c>
      <c r="AB1017" s="1">
        <v>168</v>
      </c>
      <c r="AC1017" s="29">
        <v>5380</v>
      </c>
    </row>
    <row r="1018" spans="1:29">
      <c r="A1018" s="12">
        <v>76</v>
      </c>
      <c r="B1018" s="12" t="s">
        <v>1012</v>
      </c>
      <c r="C1018" s="12">
        <v>76126</v>
      </c>
      <c r="D1018" s="12" t="s">
        <v>1020</v>
      </c>
      <c r="E1018" s="17">
        <v>0.75074056121075028</v>
      </c>
      <c r="F1018" s="17">
        <v>0.24925943878924975</v>
      </c>
      <c r="G1018" s="13">
        <v>0.95607621009268795</v>
      </c>
      <c r="H1018" s="13">
        <v>3.0112335277597753</v>
      </c>
      <c r="I1018" s="14">
        <v>9.8291949479542726</v>
      </c>
      <c r="J1018" s="16">
        <v>0.73419999999999996</v>
      </c>
      <c r="K1018" s="16">
        <v>0.73419999999999996</v>
      </c>
      <c r="L1018" s="13">
        <v>0.45190000000000002</v>
      </c>
      <c r="M1018" s="13">
        <v>4.7600000000000003E-2</v>
      </c>
      <c r="N1018" s="13">
        <v>6.54E-2</v>
      </c>
      <c r="O1018" s="13">
        <v>4.99E-2</v>
      </c>
      <c r="P1018" s="16">
        <v>0.65529999999999999</v>
      </c>
      <c r="Q1018" s="16">
        <v>0.61509999999999998</v>
      </c>
      <c r="R1018" s="16">
        <v>0.67169999999999996</v>
      </c>
      <c r="S1018" s="16">
        <f t="shared" si="32"/>
        <v>0.64736666666666665</v>
      </c>
      <c r="T1018" s="18">
        <v>0.83066154888236599</v>
      </c>
      <c r="U1018" s="1">
        <v>7.0422535210000001</v>
      </c>
      <c r="V1018" s="1">
        <f t="shared" si="31"/>
        <v>2.084709332598933</v>
      </c>
      <c r="W1018" s="26"/>
      <c r="X1018">
        <v>3.1699999999999999E-2</v>
      </c>
      <c r="Y1018" s="1">
        <v>0.20349999999999999</v>
      </c>
      <c r="Z1018" s="1">
        <v>0.1852</v>
      </c>
      <c r="AA1018" s="1">
        <v>19194</v>
      </c>
      <c r="AB1018" s="1">
        <v>142</v>
      </c>
      <c r="AC1018" s="29">
        <v>3586</v>
      </c>
    </row>
    <row r="1019" spans="1:29">
      <c r="A1019" s="12">
        <v>76</v>
      </c>
      <c r="B1019" s="12" t="s">
        <v>1012</v>
      </c>
      <c r="C1019" s="12">
        <v>76130</v>
      </c>
      <c r="D1019" s="12" t="s">
        <v>149</v>
      </c>
      <c r="E1019" s="17">
        <v>0.51845926655180896</v>
      </c>
      <c r="F1019" s="17">
        <v>0.48154073344819098</v>
      </c>
      <c r="G1019" s="13">
        <v>0.86352188559344545</v>
      </c>
      <c r="H1019" s="13">
        <v>1.0766400040888298</v>
      </c>
      <c r="I1019" s="14">
        <v>11.305421475643698</v>
      </c>
      <c r="J1019" s="16">
        <v>1.024</v>
      </c>
      <c r="K1019" s="16">
        <v>1.0237000000000001</v>
      </c>
      <c r="L1019" s="13">
        <v>0.57820000000000005</v>
      </c>
      <c r="M1019" s="13">
        <v>5.0900000000000001E-2</v>
      </c>
      <c r="N1019" s="13">
        <v>8.3400000000000002E-2</v>
      </c>
      <c r="O1019" s="13">
        <v>7.85E-2</v>
      </c>
      <c r="P1019" s="16">
        <v>0.95030000000000003</v>
      </c>
      <c r="Q1019" s="16">
        <v>0.93079999999999996</v>
      </c>
      <c r="R1019" s="16">
        <v>0.97420000000000007</v>
      </c>
      <c r="S1019" s="16">
        <f t="shared" si="32"/>
        <v>0.95176666666666676</v>
      </c>
      <c r="T1019" s="18">
        <v>1</v>
      </c>
      <c r="U1019" s="1">
        <v>9.7192224619999994</v>
      </c>
      <c r="V1019" s="1">
        <f t="shared" si="31"/>
        <v>2.3720386214822664</v>
      </c>
      <c r="W1019" s="25"/>
      <c r="X1019">
        <v>0.2515</v>
      </c>
      <c r="Y1019" s="1">
        <v>3.9514999999999998</v>
      </c>
      <c r="Z1019" s="1">
        <v>1.5996999999999999</v>
      </c>
      <c r="AA1019" s="1">
        <v>110619</v>
      </c>
      <c r="AB1019" s="1">
        <v>926</v>
      </c>
      <c r="AC1019" s="29">
        <v>18722</v>
      </c>
    </row>
    <row r="1020" spans="1:29">
      <c r="A1020" s="12">
        <v>76</v>
      </c>
      <c r="B1020" s="12" t="s">
        <v>1012</v>
      </c>
      <c r="C1020" s="12">
        <v>76147</v>
      </c>
      <c r="D1020" s="12" t="s">
        <v>1021</v>
      </c>
      <c r="E1020" s="17">
        <v>0.54271129408465779</v>
      </c>
      <c r="F1020" s="17">
        <v>0.45728870591534215</v>
      </c>
      <c r="G1020" s="13">
        <v>1</v>
      </c>
      <c r="H1020" s="13">
        <v>1.1867857740119294</v>
      </c>
      <c r="I1020" s="14">
        <v>11.963459536445971</v>
      </c>
      <c r="J1020" s="16">
        <v>0.69669999999999999</v>
      </c>
      <c r="K1020" s="16">
        <v>0.69620000000000004</v>
      </c>
      <c r="L1020" s="13">
        <v>0.4279</v>
      </c>
      <c r="M1020" s="13">
        <v>5.1799999999999999E-2</v>
      </c>
      <c r="N1020" s="13">
        <v>8.1000000000000003E-2</v>
      </c>
      <c r="O1020" s="13">
        <v>8.1299999999999997E-2</v>
      </c>
      <c r="P1020" s="16">
        <v>0.80040000000000011</v>
      </c>
      <c r="Q1020" s="16">
        <v>0.7883</v>
      </c>
      <c r="R1020" s="16">
        <v>0.79720000000000002</v>
      </c>
      <c r="S1020" s="16">
        <f t="shared" si="32"/>
        <v>0.79530000000000012</v>
      </c>
      <c r="T1020" s="18">
        <v>1</v>
      </c>
      <c r="U1020" s="1">
        <v>14.77832512</v>
      </c>
      <c r="V1020" s="1">
        <f t="shared" si="31"/>
        <v>2.7586371703675581</v>
      </c>
      <c r="W1020" s="26"/>
      <c r="X1020">
        <v>0.14480000000000001</v>
      </c>
      <c r="Y1020" s="1">
        <v>2.5325000000000002</v>
      </c>
      <c r="Z1020" s="1">
        <v>1.262</v>
      </c>
      <c r="AA1020" s="1">
        <v>142792</v>
      </c>
      <c r="AB1020" s="1">
        <v>812</v>
      </c>
      <c r="AC1020" s="29">
        <v>21700</v>
      </c>
    </row>
    <row r="1021" spans="1:29">
      <c r="A1021" s="12">
        <v>76</v>
      </c>
      <c r="B1021" s="12" t="s">
        <v>1012</v>
      </c>
      <c r="C1021" s="12">
        <v>76233</v>
      </c>
      <c r="D1021" s="12" t="s">
        <v>1022</v>
      </c>
      <c r="E1021" s="17">
        <v>0.77385661906599768</v>
      </c>
      <c r="F1021" s="17">
        <v>0.2260951370127364</v>
      </c>
      <c r="G1021" s="13">
        <v>0.83256682666238224</v>
      </c>
      <c r="H1021" s="13">
        <v>3.4223383827608278</v>
      </c>
      <c r="I1021" s="14">
        <v>10.632412024471595</v>
      </c>
      <c r="J1021" s="16">
        <v>0.67410000000000003</v>
      </c>
      <c r="K1021" s="16">
        <v>0.67410000000000003</v>
      </c>
      <c r="L1021" s="13">
        <v>0.3931</v>
      </c>
      <c r="M1021" s="13">
        <v>4.1099999999999998E-2</v>
      </c>
      <c r="N1021" s="13">
        <v>7.7899999999999997E-2</v>
      </c>
      <c r="O1021" s="13">
        <v>5.5100000000000003E-2</v>
      </c>
      <c r="P1021" s="16">
        <v>0.7288</v>
      </c>
      <c r="Q1021" s="16">
        <v>0.28620000000000001</v>
      </c>
      <c r="R1021" s="16">
        <v>0.59370000000000001</v>
      </c>
      <c r="S1021" s="16">
        <f t="shared" si="32"/>
        <v>0.53623333333333345</v>
      </c>
      <c r="T1021" s="18">
        <v>0.85586565752128607</v>
      </c>
      <c r="U1021" s="1">
        <v>19.10828025</v>
      </c>
      <c r="V1021" s="1">
        <f t="shared" si="31"/>
        <v>3.0011316829721162</v>
      </c>
      <c r="W1021" s="25"/>
      <c r="X1021">
        <v>0.12039999999999999</v>
      </c>
      <c r="Y1021" s="1">
        <v>0.20930000000000001</v>
      </c>
      <c r="Z1021" s="1">
        <v>0.19009999999999999</v>
      </c>
      <c r="AA1021" s="1">
        <v>57738</v>
      </c>
      <c r="AB1021" s="1">
        <v>314</v>
      </c>
      <c r="AC1021" s="29">
        <v>10063</v>
      </c>
    </row>
    <row r="1022" spans="1:29">
      <c r="A1022" s="12">
        <v>76</v>
      </c>
      <c r="B1022" s="12" t="s">
        <v>1012</v>
      </c>
      <c r="C1022" s="12">
        <v>76243</v>
      </c>
      <c r="D1022" s="12" t="s">
        <v>1023</v>
      </c>
      <c r="E1022" s="17">
        <v>0.91062562065541208</v>
      </c>
      <c r="F1022" s="17">
        <v>8.937437934458789E-2</v>
      </c>
      <c r="G1022" s="13">
        <v>0.87976411488478756</v>
      </c>
      <c r="H1022" s="13">
        <v>10.174757281553399</v>
      </c>
      <c r="I1022" s="14">
        <v>8.9942965577771954</v>
      </c>
      <c r="J1022" s="16">
        <v>0.6089</v>
      </c>
      <c r="K1022" s="16">
        <v>0.60780000000000001</v>
      </c>
      <c r="L1022" s="13">
        <v>0.44479999999999997</v>
      </c>
      <c r="M1022" s="13">
        <v>6.2899999999999998E-2</v>
      </c>
      <c r="N1022" s="13">
        <v>7.9200000000000007E-2</v>
      </c>
      <c r="O1022" s="13">
        <v>5.3900000000000003E-2</v>
      </c>
      <c r="P1022" s="16">
        <v>0.47939999999999999</v>
      </c>
      <c r="Q1022" s="16">
        <v>0.27329999999999999</v>
      </c>
      <c r="R1022" s="16">
        <v>0.3095</v>
      </c>
      <c r="S1022" s="16">
        <f t="shared" si="32"/>
        <v>0.35406666666666659</v>
      </c>
      <c r="T1022" s="18">
        <v>0.84707198806415507</v>
      </c>
      <c r="U1022" s="1">
        <v>27.027027029999999</v>
      </c>
      <c r="V1022" s="1">
        <f t="shared" si="31"/>
        <v>3.3331692956913779</v>
      </c>
      <c r="W1022" s="26"/>
      <c r="X1022">
        <v>3.2000000000000001E-2</v>
      </c>
      <c r="Y1022" s="1">
        <v>6.1600000000000002E-2</v>
      </c>
      <c r="Z1022" s="1">
        <v>5.9799999999999999E-2</v>
      </c>
      <c r="AA1022" s="1">
        <v>9210</v>
      </c>
      <c r="AB1022" s="1">
        <v>37</v>
      </c>
      <c r="AC1022" s="29">
        <v>2003</v>
      </c>
    </row>
    <row r="1023" spans="1:29">
      <c r="A1023" s="12">
        <v>76</v>
      </c>
      <c r="B1023" s="12" t="s">
        <v>1012</v>
      </c>
      <c r="C1023" s="12">
        <v>76246</v>
      </c>
      <c r="D1023" s="12" t="s">
        <v>1024</v>
      </c>
      <c r="E1023" s="17">
        <v>0.9058737151248164</v>
      </c>
      <c r="F1023" s="17">
        <v>9.4126284875183555E-2</v>
      </c>
      <c r="G1023" s="13">
        <v>0.96513605442176875</v>
      </c>
      <c r="H1023" s="13">
        <v>9.6090342679127723</v>
      </c>
      <c r="I1023" s="14">
        <v>8.8262942312413184</v>
      </c>
      <c r="J1023" s="16">
        <v>0.67020000000000002</v>
      </c>
      <c r="K1023" s="16">
        <v>0.67020000000000002</v>
      </c>
      <c r="L1023" s="13">
        <v>0.37169999999999997</v>
      </c>
      <c r="M1023" s="13">
        <v>7.0900000000000005E-2</v>
      </c>
      <c r="N1023" s="13">
        <v>8.4900000000000003E-2</v>
      </c>
      <c r="O1023" s="13">
        <v>3.9E-2</v>
      </c>
      <c r="P1023" s="16">
        <v>0.46360000000000001</v>
      </c>
      <c r="Q1023" s="16">
        <v>0.36499999999999999</v>
      </c>
      <c r="R1023" s="16">
        <v>0.37060000000000004</v>
      </c>
      <c r="S1023" s="16">
        <f t="shared" si="32"/>
        <v>0.39973333333333333</v>
      </c>
      <c r="T1023" s="18">
        <v>0.58619528619528605</v>
      </c>
      <c r="U1023" s="1">
        <v>29.41176471</v>
      </c>
      <c r="V1023" s="1">
        <f t="shared" si="31"/>
        <v>3.4148295305876095</v>
      </c>
      <c r="W1023" s="25"/>
      <c r="X1023">
        <v>3.09E-2</v>
      </c>
      <c r="Y1023" s="1">
        <v>7.0300000000000001E-2</v>
      </c>
      <c r="Z1023" s="1">
        <v>6.8000000000000005E-2</v>
      </c>
      <c r="AA1023" s="1">
        <v>7034</v>
      </c>
      <c r="AB1023" s="1">
        <v>34</v>
      </c>
      <c r="AC1023" s="29">
        <v>1446</v>
      </c>
    </row>
    <row r="1024" spans="1:29">
      <c r="A1024" s="12">
        <v>76</v>
      </c>
      <c r="B1024" s="12" t="s">
        <v>1012</v>
      </c>
      <c r="C1024" s="12">
        <v>76248</v>
      </c>
      <c r="D1024" s="12" t="s">
        <v>1025</v>
      </c>
      <c r="E1024" s="17">
        <v>0.55447456368362424</v>
      </c>
      <c r="F1024" s="17">
        <v>0.44552543631637581</v>
      </c>
      <c r="G1024" s="13">
        <v>0.92926155969634228</v>
      </c>
      <c r="H1024" s="13">
        <v>1.2444888944451389</v>
      </c>
      <c r="I1024" s="14">
        <v>10.894161932847521</v>
      </c>
      <c r="J1024" s="16">
        <v>0.82989999999999997</v>
      </c>
      <c r="K1024" s="16">
        <v>0.8296</v>
      </c>
      <c r="L1024" s="13">
        <v>0.51049999999999995</v>
      </c>
      <c r="M1024" s="13">
        <v>4.2200000000000001E-2</v>
      </c>
      <c r="N1024" s="13">
        <v>7.3499999999999996E-2</v>
      </c>
      <c r="O1024" s="13">
        <v>9.0499999999999997E-2</v>
      </c>
      <c r="P1024" s="16">
        <v>0.9043000000000001</v>
      </c>
      <c r="Q1024" s="16">
        <v>0.73580000000000001</v>
      </c>
      <c r="R1024" s="16">
        <v>0.9998999999999999</v>
      </c>
      <c r="S1024" s="16">
        <f t="shared" si="32"/>
        <v>0.88</v>
      </c>
      <c r="T1024" s="18">
        <v>1</v>
      </c>
      <c r="U1024" s="1">
        <v>15.78947368</v>
      </c>
      <c r="V1024" s="1">
        <f t="shared" si="31"/>
        <v>2.8207521233676203</v>
      </c>
      <c r="W1024" s="26"/>
      <c r="X1024">
        <v>0.19189999999999999</v>
      </c>
      <c r="Y1024" s="1">
        <v>0.78490000000000004</v>
      </c>
      <c r="Z1024" s="1">
        <v>0.57930000000000004</v>
      </c>
      <c r="AA1024" s="1">
        <v>56819</v>
      </c>
      <c r="AB1024" s="1">
        <v>380</v>
      </c>
      <c r="AC1024" s="29">
        <v>10520</v>
      </c>
    </row>
    <row r="1025" spans="1:29">
      <c r="A1025" s="12">
        <v>76</v>
      </c>
      <c r="B1025" s="12" t="s">
        <v>1012</v>
      </c>
      <c r="C1025" s="12">
        <v>76250</v>
      </c>
      <c r="D1025" s="12" t="s">
        <v>1026</v>
      </c>
      <c r="E1025" s="17">
        <v>0.81819542121801581</v>
      </c>
      <c r="F1025" s="17">
        <v>0.18165494538380966</v>
      </c>
      <c r="G1025" s="13">
        <v>1</v>
      </c>
      <c r="H1025" s="13">
        <v>4.5022643062988887</v>
      </c>
      <c r="I1025" s="14">
        <v>9.5005442619714735</v>
      </c>
      <c r="J1025" s="16">
        <v>0.87170000000000003</v>
      </c>
      <c r="K1025" s="16">
        <v>0.87170000000000003</v>
      </c>
      <c r="L1025" s="13">
        <v>0.29099999999999998</v>
      </c>
      <c r="M1025" s="13">
        <v>6.59E-2</v>
      </c>
      <c r="N1025" s="13">
        <v>0.13880000000000001</v>
      </c>
      <c r="O1025" s="13">
        <v>7.4099999999999999E-2</v>
      </c>
      <c r="P1025" s="16">
        <v>0.64419999999999999</v>
      </c>
      <c r="Q1025" s="16">
        <v>0.49149999999999999</v>
      </c>
      <c r="R1025" s="16">
        <v>0.44520000000000004</v>
      </c>
      <c r="S1025" s="16">
        <f t="shared" si="32"/>
        <v>0.52696666666666669</v>
      </c>
      <c r="T1025" s="18">
        <v>0.75470552519732803</v>
      </c>
      <c r="U1025" s="1">
        <v>23.809523810000002</v>
      </c>
      <c r="V1025" s="1">
        <f t="shared" si="31"/>
        <v>3.2112276040491379</v>
      </c>
      <c r="W1025" s="25"/>
      <c r="X1025">
        <v>6.2199999999999998E-2</v>
      </c>
      <c r="Y1025" s="1">
        <v>0.12659999999999999</v>
      </c>
      <c r="Z1025" s="1">
        <v>0.1192</v>
      </c>
      <c r="AA1025" s="1">
        <v>9256</v>
      </c>
      <c r="AB1025" s="1">
        <v>126</v>
      </c>
      <c r="AC1025" s="29">
        <v>2019</v>
      </c>
    </row>
    <row r="1026" spans="1:29">
      <c r="A1026" s="12">
        <v>76</v>
      </c>
      <c r="B1026" s="12" t="s">
        <v>1012</v>
      </c>
      <c r="C1026" s="12">
        <v>76275</v>
      </c>
      <c r="D1026" s="12" t="s">
        <v>1027</v>
      </c>
      <c r="E1026" s="17">
        <v>0.57241137348221371</v>
      </c>
      <c r="F1026" s="17">
        <v>0.42758862651778634</v>
      </c>
      <c r="G1026" s="13">
        <v>1</v>
      </c>
      <c r="H1026" s="13">
        <v>1.3386486872146119</v>
      </c>
      <c r="I1026" s="14">
        <v>11.090675272201246</v>
      </c>
      <c r="J1026" s="16">
        <v>0.77229999999999999</v>
      </c>
      <c r="K1026" s="16">
        <v>0.77190000000000003</v>
      </c>
      <c r="L1026" s="13">
        <v>0.4622</v>
      </c>
      <c r="M1026" s="13">
        <v>6.2300000000000001E-2</v>
      </c>
      <c r="N1026" s="13">
        <v>9.0200000000000002E-2</v>
      </c>
      <c r="O1026" s="13">
        <v>6.0999999999999999E-2</v>
      </c>
      <c r="P1026" s="16">
        <v>0.9405</v>
      </c>
      <c r="Q1026" s="16">
        <v>0.71219999999999994</v>
      </c>
      <c r="R1026" s="16">
        <v>0.99099999999999999</v>
      </c>
      <c r="S1026" s="16">
        <f t="shared" si="32"/>
        <v>0.88123333333333331</v>
      </c>
      <c r="T1026" s="18">
        <v>0.98567335243553</v>
      </c>
      <c r="U1026" s="1">
        <v>6.741573034</v>
      </c>
      <c r="V1026" s="1">
        <f t="shared" ref="V1026:V1089" si="33">LN(U1026+1)</f>
        <v>2.0466049013192547</v>
      </c>
      <c r="W1026" s="26"/>
      <c r="X1026">
        <v>8.9200000000000002E-2</v>
      </c>
      <c r="Y1026" s="1">
        <v>0.61180000000000001</v>
      </c>
      <c r="Z1026" s="1">
        <v>0.47739999999999999</v>
      </c>
      <c r="AA1026" s="1">
        <v>57543</v>
      </c>
      <c r="AB1026" s="1">
        <v>445</v>
      </c>
      <c r="AC1026" s="29">
        <v>10372</v>
      </c>
    </row>
    <row r="1027" spans="1:29">
      <c r="A1027" s="12">
        <v>76</v>
      </c>
      <c r="B1027" s="12" t="s">
        <v>1012</v>
      </c>
      <c r="C1027" s="12">
        <v>76306</v>
      </c>
      <c r="D1027" s="12" t="s">
        <v>1028</v>
      </c>
      <c r="E1027" s="17">
        <v>0.65899185560202511</v>
      </c>
      <c r="F1027" s="17">
        <v>0.34100814439797489</v>
      </c>
      <c r="G1027" s="13">
        <v>0.90483588272785209</v>
      </c>
      <c r="H1027" s="13">
        <v>1.9322318316767781</v>
      </c>
      <c r="I1027" s="14">
        <v>10.030824800997323</v>
      </c>
      <c r="J1027" s="16">
        <v>0.76319999999999999</v>
      </c>
      <c r="K1027" s="16">
        <v>0.76319999999999999</v>
      </c>
      <c r="L1027" s="13">
        <v>0.55220000000000002</v>
      </c>
      <c r="M1027" s="13">
        <v>5.0500000000000003E-2</v>
      </c>
      <c r="N1027" s="13">
        <v>8.2100000000000006E-2</v>
      </c>
      <c r="O1027" s="13">
        <v>7.8700000000000006E-2</v>
      </c>
      <c r="P1027" s="16">
        <v>0.71209999999999996</v>
      </c>
      <c r="Q1027" s="16">
        <v>0.70150000000000001</v>
      </c>
      <c r="R1027" s="16">
        <v>0.7278</v>
      </c>
      <c r="S1027" s="16">
        <f t="shared" si="32"/>
        <v>0.71379999999999999</v>
      </c>
      <c r="T1027" s="18">
        <v>0.94780281061788896</v>
      </c>
      <c r="U1027" s="1">
        <v>7.407407407</v>
      </c>
      <c r="V1027" s="1">
        <f t="shared" si="33"/>
        <v>2.1291131514286157</v>
      </c>
      <c r="W1027" s="25"/>
      <c r="X1027">
        <v>0.13170000000000001</v>
      </c>
      <c r="Y1027" s="1">
        <v>0.59370000000000001</v>
      </c>
      <c r="Z1027" s="1">
        <v>0.46610000000000001</v>
      </c>
      <c r="AA1027" s="1">
        <v>24240</v>
      </c>
      <c r="AB1027" s="1">
        <v>135</v>
      </c>
      <c r="AC1027" s="29">
        <v>4408</v>
      </c>
    </row>
    <row r="1028" spans="1:29">
      <c r="A1028" s="12">
        <v>76</v>
      </c>
      <c r="B1028" s="12" t="s">
        <v>1012</v>
      </c>
      <c r="C1028" s="12">
        <v>76318</v>
      </c>
      <c r="D1028" s="12" t="s">
        <v>1029</v>
      </c>
      <c r="E1028" s="17">
        <v>0.55947731610629858</v>
      </c>
      <c r="F1028" s="17">
        <v>0.44052268389370136</v>
      </c>
      <c r="G1028" s="13">
        <v>0.95894461183228674</v>
      </c>
      <c r="H1028" s="13">
        <v>1.2699460107978404</v>
      </c>
      <c r="I1028" s="14">
        <v>10.435761507507989</v>
      </c>
      <c r="J1028" s="16">
        <v>0.7681</v>
      </c>
      <c r="K1028" s="16">
        <v>0.76800000000000002</v>
      </c>
      <c r="L1028" s="13">
        <v>0.43569999999999998</v>
      </c>
      <c r="M1028" s="13">
        <v>4.99E-2</v>
      </c>
      <c r="N1028" s="13">
        <v>8.9899999999999994E-2</v>
      </c>
      <c r="O1028" s="13">
        <v>7.4499999999999997E-2</v>
      </c>
      <c r="P1028" s="16">
        <v>0.63029999999999997</v>
      </c>
      <c r="Q1028" s="16">
        <v>0.58430000000000004</v>
      </c>
      <c r="R1028" s="16">
        <v>0.52570000000000006</v>
      </c>
      <c r="S1028" s="16">
        <f t="shared" si="32"/>
        <v>0.58009999999999995</v>
      </c>
      <c r="T1028" s="18">
        <v>1</v>
      </c>
      <c r="U1028" s="1">
        <v>0</v>
      </c>
      <c r="V1028" s="1">
        <f t="shared" si="33"/>
        <v>0</v>
      </c>
      <c r="W1028" s="26"/>
      <c r="X1028">
        <v>0.13850000000000001</v>
      </c>
      <c r="Y1028" s="1">
        <v>0.82089999999999996</v>
      </c>
      <c r="Z1028" s="1">
        <v>0.59930000000000005</v>
      </c>
      <c r="AA1028" s="1">
        <v>34561</v>
      </c>
      <c r="AB1028" s="1">
        <v>235</v>
      </c>
      <c r="AC1028" s="29">
        <v>6615</v>
      </c>
    </row>
    <row r="1029" spans="1:29">
      <c r="A1029" s="12">
        <v>76</v>
      </c>
      <c r="B1029" s="12" t="s">
        <v>1012</v>
      </c>
      <c r="C1029" s="12">
        <v>76364</v>
      </c>
      <c r="D1029" s="12" t="s">
        <v>1030</v>
      </c>
      <c r="E1029" s="17">
        <v>0.48850035203003989</v>
      </c>
      <c r="F1029" s="17">
        <v>0.51149964796996006</v>
      </c>
      <c r="G1029" s="13">
        <v>0.89221834051510374</v>
      </c>
      <c r="H1029" s="13">
        <v>0.95502402743232473</v>
      </c>
      <c r="I1029" s="14">
        <v>11.994851489172838</v>
      </c>
      <c r="J1029" s="16">
        <v>0.78459999999999996</v>
      </c>
      <c r="K1029" s="16">
        <v>0.78349999999999997</v>
      </c>
      <c r="L1029" s="13">
        <v>0.41970000000000002</v>
      </c>
      <c r="M1029" s="13">
        <v>5.8900000000000001E-2</v>
      </c>
      <c r="N1029" s="13">
        <v>9.0399999999999994E-2</v>
      </c>
      <c r="O1029" s="13">
        <v>7.3499999999999996E-2</v>
      </c>
      <c r="P1029" s="16">
        <v>0.9890000000000001</v>
      </c>
      <c r="Q1029" s="16">
        <v>0.97160000000000002</v>
      </c>
      <c r="R1029" s="16">
        <v>0.99370000000000003</v>
      </c>
      <c r="S1029" s="16">
        <f t="shared" si="32"/>
        <v>0.98476666666666668</v>
      </c>
      <c r="T1029" s="18">
        <v>1</v>
      </c>
      <c r="U1029" s="1">
        <v>9.0264345580000001</v>
      </c>
      <c r="V1029" s="1">
        <f t="shared" si="33"/>
        <v>2.3052250610099456</v>
      </c>
      <c r="W1029" s="25"/>
      <c r="X1029">
        <v>0.17699999999999999</v>
      </c>
      <c r="Y1029" s="1">
        <v>1.6644000000000001</v>
      </c>
      <c r="Z1029" s="1">
        <v>0.98</v>
      </c>
      <c r="AA1029" s="1">
        <v>189878</v>
      </c>
      <c r="AB1029" s="1">
        <v>1551</v>
      </c>
      <c r="AC1029" s="29">
        <v>35719</v>
      </c>
    </row>
    <row r="1030" spans="1:29">
      <c r="A1030" s="12">
        <v>76</v>
      </c>
      <c r="B1030" s="12" t="s">
        <v>1012</v>
      </c>
      <c r="C1030" s="12">
        <v>76377</v>
      </c>
      <c r="D1030" s="12" t="s">
        <v>1031</v>
      </c>
      <c r="E1030" s="17">
        <v>0.79121247694113706</v>
      </c>
      <c r="F1030" s="17">
        <v>0.208787523058863</v>
      </c>
      <c r="G1030" s="13">
        <v>0.68769461423134581</v>
      </c>
      <c r="H1030" s="13">
        <v>3.7880369329586512</v>
      </c>
      <c r="I1030" s="14">
        <v>9.3865600165786685</v>
      </c>
      <c r="J1030" s="16">
        <v>0.69799999999999995</v>
      </c>
      <c r="K1030" s="16">
        <v>0.69799999999999995</v>
      </c>
      <c r="L1030" s="13">
        <v>0.40770000000000001</v>
      </c>
      <c r="M1030" s="13">
        <v>6.4199999999999993E-2</v>
      </c>
      <c r="N1030" s="13">
        <v>7.3099999999999998E-2</v>
      </c>
      <c r="O1030" s="13">
        <v>3.8300000000000001E-2</v>
      </c>
      <c r="P1030" s="16">
        <v>0.34850000000000003</v>
      </c>
      <c r="Q1030" s="16">
        <v>0.28370000000000001</v>
      </c>
      <c r="R1030" s="16">
        <v>0.42070000000000002</v>
      </c>
      <c r="S1030" s="16">
        <f t="shared" si="32"/>
        <v>0.3509666666666667</v>
      </c>
      <c r="T1030" s="18">
        <v>0.80539391226499502</v>
      </c>
      <c r="U1030" s="1">
        <v>0</v>
      </c>
      <c r="V1030" s="1">
        <f t="shared" si="33"/>
        <v>0</v>
      </c>
      <c r="W1030" s="26"/>
      <c r="X1030">
        <v>2.6599999999999999E-2</v>
      </c>
      <c r="Y1030" s="1">
        <v>0.4128</v>
      </c>
      <c r="Z1030" s="1">
        <v>0.34560000000000002</v>
      </c>
      <c r="AA1030" s="1">
        <v>18290</v>
      </c>
      <c r="AB1030" s="1">
        <v>68</v>
      </c>
      <c r="AC1030" s="29">
        <v>2983</v>
      </c>
    </row>
    <row r="1031" spans="1:29">
      <c r="A1031" s="12">
        <v>76</v>
      </c>
      <c r="B1031" s="12" t="s">
        <v>1012</v>
      </c>
      <c r="C1031" s="12">
        <v>76400</v>
      </c>
      <c r="D1031" s="12" t="s">
        <v>77</v>
      </c>
      <c r="E1031" s="17">
        <v>0.76415094339622647</v>
      </c>
      <c r="F1031" s="17">
        <v>0.23584905660377359</v>
      </c>
      <c r="G1031" s="13">
        <v>1</v>
      </c>
      <c r="H1031" s="13">
        <v>3.2396154759079039</v>
      </c>
      <c r="I1031" s="14">
        <v>10.483550018025911</v>
      </c>
      <c r="J1031" s="16">
        <v>0.72089999999999999</v>
      </c>
      <c r="K1031" s="16">
        <v>0.72070000000000001</v>
      </c>
      <c r="L1031" s="13">
        <v>0.45540000000000003</v>
      </c>
      <c r="M1031" s="13">
        <v>6.4899999999999999E-2</v>
      </c>
      <c r="N1031" s="13">
        <v>5.8299999999999998E-2</v>
      </c>
      <c r="O1031" s="13">
        <v>4.7E-2</v>
      </c>
      <c r="P1031" s="16">
        <v>0.74250000000000005</v>
      </c>
      <c r="Q1031" s="16">
        <v>0.74250000000000005</v>
      </c>
      <c r="R1031" s="16">
        <v>0.72950000000000004</v>
      </c>
      <c r="S1031" s="16">
        <f t="shared" si="32"/>
        <v>0.73816666666666675</v>
      </c>
      <c r="T1031" s="18">
        <v>0.78120124804992197</v>
      </c>
      <c r="U1031" s="1">
        <v>4.0322580649999997</v>
      </c>
      <c r="V1031" s="1">
        <f t="shared" si="33"/>
        <v>1.6158688028605446</v>
      </c>
      <c r="W1031" s="25"/>
      <c r="X1031">
        <v>9.8400000000000001E-2</v>
      </c>
      <c r="Y1031" s="1">
        <v>1.1243000000000001</v>
      </c>
      <c r="Z1031" s="1">
        <v>0.75349999999999995</v>
      </c>
      <c r="AA1031" s="1">
        <v>34777</v>
      </c>
      <c r="AB1031" s="1">
        <v>248</v>
      </c>
      <c r="AC1031" s="29">
        <v>6494</v>
      </c>
    </row>
    <row r="1032" spans="1:29">
      <c r="A1032" s="12">
        <v>76</v>
      </c>
      <c r="B1032" s="12" t="s">
        <v>1012</v>
      </c>
      <c r="C1032" s="12">
        <v>76403</v>
      </c>
      <c r="D1032" s="12" t="s">
        <v>4</v>
      </c>
      <c r="E1032" s="17">
        <v>0.72563591786699355</v>
      </c>
      <c r="F1032" s="17">
        <v>0.27436408213300645</v>
      </c>
      <c r="G1032" s="13">
        <v>1</v>
      </c>
      <c r="H1032" s="13">
        <v>2.6440536013400333</v>
      </c>
      <c r="I1032" s="14">
        <v>9.4767732713887902</v>
      </c>
      <c r="J1032" s="16">
        <v>0.76580000000000004</v>
      </c>
      <c r="K1032" s="16">
        <v>0.76580000000000004</v>
      </c>
      <c r="L1032" s="13">
        <v>0.47110000000000002</v>
      </c>
      <c r="M1032" s="13">
        <v>7.1300000000000002E-2</v>
      </c>
      <c r="N1032" s="13">
        <v>6.59E-2</v>
      </c>
      <c r="O1032" s="13">
        <v>7.3700000000000002E-2</v>
      </c>
      <c r="P1032" s="16">
        <v>0.88159999999999994</v>
      </c>
      <c r="Q1032" s="16">
        <v>0.84099999999999997</v>
      </c>
      <c r="R1032" s="16">
        <v>0.84079999999999999</v>
      </c>
      <c r="S1032" s="16">
        <f t="shared" ref="S1032:S1095" si="34">+(P1032+Q1032+R1032)/3</f>
        <v>0.8544666666666666</v>
      </c>
      <c r="T1032" s="18">
        <v>0.64997615641392403</v>
      </c>
      <c r="U1032" s="1">
        <v>0</v>
      </c>
      <c r="V1032" s="1">
        <f t="shared" si="33"/>
        <v>0</v>
      </c>
      <c r="W1032" s="26"/>
      <c r="X1032">
        <v>0.1081</v>
      </c>
      <c r="Y1032" s="1">
        <v>0.307</v>
      </c>
      <c r="Z1032" s="1">
        <v>0.26769999999999999</v>
      </c>
      <c r="AA1032" s="1">
        <v>12681</v>
      </c>
      <c r="AB1032" s="1">
        <v>81</v>
      </c>
      <c r="AC1032" s="29">
        <v>1900</v>
      </c>
    </row>
    <row r="1033" spans="1:29">
      <c r="A1033" s="12">
        <v>76</v>
      </c>
      <c r="B1033" s="12" t="s">
        <v>1012</v>
      </c>
      <c r="C1033" s="12">
        <v>76497</v>
      </c>
      <c r="D1033" s="12" t="s">
        <v>1032</v>
      </c>
      <c r="E1033" s="17">
        <v>0.73091307123962423</v>
      </c>
      <c r="F1033" s="17">
        <v>0.26908692876037582</v>
      </c>
      <c r="G1033" s="13">
        <v>0.86732594936708862</v>
      </c>
      <c r="H1033" s="13">
        <v>2.7153507285665874</v>
      </c>
      <c r="I1033" s="14">
        <v>9.3023724574226758</v>
      </c>
      <c r="J1033" s="16">
        <v>0.52149999999999996</v>
      </c>
      <c r="K1033" s="16">
        <v>0.52149999999999996</v>
      </c>
      <c r="L1033" s="13">
        <v>0.30730000000000002</v>
      </c>
      <c r="M1033" s="13">
        <v>3.8399999999999997E-2</v>
      </c>
      <c r="N1033" s="13">
        <v>5.8299999999999998E-2</v>
      </c>
      <c r="O1033" s="13">
        <v>5.7599999999999998E-2</v>
      </c>
      <c r="P1033" s="16">
        <v>0.73709999999999998</v>
      </c>
      <c r="Q1033" s="16">
        <v>0.66720000000000002</v>
      </c>
      <c r="R1033" s="16">
        <v>0.45450000000000002</v>
      </c>
      <c r="S1033" s="16">
        <f t="shared" si="34"/>
        <v>0.61960000000000004</v>
      </c>
      <c r="T1033" s="18">
        <v>0.58101391650099399</v>
      </c>
      <c r="U1033" s="1">
        <v>14.49275362</v>
      </c>
      <c r="V1033" s="1">
        <f t="shared" si="33"/>
        <v>2.7403724062219861</v>
      </c>
      <c r="W1033" s="25"/>
      <c r="X1033">
        <v>5.0700000000000002E-2</v>
      </c>
      <c r="Y1033" s="1">
        <v>0.14319999999999999</v>
      </c>
      <c r="Z1033" s="1">
        <v>0.1338</v>
      </c>
      <c r="AA1033" s="1">
        <v>12572</v>
      </c>
      <c r="AB1033" s="1">
        <v>69</v>
      </c>
      <c r="AC1033" s="29">
        <v>2545</v>
      </c>
    </row>
    <row r="1034" spans="1:29">
      <c r="A1034" s="12">
        <v>76</v>
      </c>
      <c r="B1034" s="12" t="s">
        <v>1012</v>
      </c>
      <c r="C1034" s="12">
        <v>76520</v>
      </c>
      <c r="D1034" s="12" t="s">
        <v>1033</v>
      </c>
      <c r="E1034" s="17">
        <v>0.45265430910995658</v>
      </c>
      <c r="F1034" s="17">
        <v>0.54734569089004337</v>
      </c>
      <c r="G1034" s="13">
        <v>1</v>
      </c>
      <c r="H1034" s="13">
        <v>0.8269949074503562</v>
      </c>
      <c r="I1034" s="14">
        <v>12.832505606502913</v>
      </c>
      <c r="J1034" s="16">
        <v>0.79159999999999997</v>
      </c>
      <c r="K1034" s="16">
        <v>0.7903</v>
      </c>
      <c r="L1034" s="13">
        <v>0.46489999999999998</v>
      </c>
      <c r="M1034" s="13">
        <v>5.1400000000000001E-2</v>
      </c>
      <c r="N1034" s="13">
        <v>8.8900000000000007E-2</v>
      </c>
      <c r="O1034" s="13">
        <v>0.1055</v>
      </c>
      <c r="P1034" s="16">
        <v>0.91409999999999991</v>
      </c>
      <c r="Q1034" s="16">
        <v>0.79760000000000009</v>
      </c>
      <c r="R1034" s="16">
        <v>0.74269999999999992</v>
      </c>
      <c r="S1034" s="16">
        <f t="shared" si="34"/>
        <v>0.81813333333333327</v>
      </c>
      <c r="T1034" s="18">
        <v>0.92965098161421</v>
      </c>
      <c r="U1034" s="1">
        <v>6.7750677509999999</v>
      </c>
      <c r="V1034" s="1">
        <f t="shared" si="33"/>
        <v>2.0509221719823154</v>
      </c>
      <c r="W1034" s="26"/>
      <c r="X1034">
        <v>0.34960000000000002</v>
      </c>
      <c r="Y1034" s="1">
        <v>2.948</v>
      </c>
      <c r="Z1034" s="1">
        <v>1.3732</v>
      </c>
      <c r="AA1034" s="1">
        <v>378446</v>
      </c>
      <c r="AB1034" s="1">
        <v>2214</v>
      </c>
      <c r="AC1034" s="29">
        <v>64048</v>
      </c>
    </row>
    <row r="1035" spans="1:29">
      <c r="A1035" s="12">
        <v>76</v>
      </c>
      <c r="B1035" s="12" t="s">
        <v>1012</v>
      </c>
      <c r="C1035" s="12">
        <v>76563</v>
      </c>
      <c r="D1035" s="12" t="s">
        <v>1034</v>
      </c>
      <c r="E1035" s="17">
        <v>0.57247548668399828</v>
      </c>
      <c r="F1035" s="17">
        <v>0.42752451331600172</v>
      </c>
      <c r="G1035" s="13">
        <v>0.98856645620851546</v>
      </c>
      <c r="H1035" s="13">
        <v>1.3389830508474576</v>
      </c>
      <c r="I1035" s="14">
        <v>10.796550598290979</v>
      </c>
      <c r="J1035" s="16">
        <v>0.68</v>
      </c>
      <c r="K1035" s="16">
        <v>0.67969999999999997</v>
      </c>
      <c r="L1035" s="13">
        <v>0.33429999999999999</v>
      </c>
      <c r="M1035" s="13">
        <v>7.4999999999999997E-2</v>
      </c>
      <c r="N1035" s="13">
        <v>0.10630000000000001</v>
      </c>
      <c r="O1035" s="13">
        <v>6.7799999999999999E-2</v>
      </c>
      <c r="P1035" s="16">
        <v>0.99809999999999999</v>
      </c>
      <c r="Q1035" s="16">
        <v>0.99809999999999999</v>
      </c>
      <c r="R1035" s="16">
        <v>0.94489999999999996</v>
      </c>
      <c r="S1035" s="16">
        <f t="shared" si="34"/>
        <v>0.98036666666666672</v>
      </c>
      <c r="T1035" s="18">
        <v>0.89502762430939198</v>
      </c>
      <c r="U1035" s="1">
        <v>8.3798882680000002</v>
      </c>
      <c r="V1035" s="1">
        <f t="shared" si="33"/>
        <v>2.2385678512201093</v>
      </c>
      <c r="W1035" s="25"/>
      <c r="X1035">
        <v>0.12280000000000001</v>
      </c>
      <c r="Y1035" s="1">
        <v>0.67100000000000004</v>
      </c>
      <c r="Z1035" s="1">
        <v>0.51339999999999997</v>
      </c>
      <c r="AA1035" s="1">
        <v>49776</v>
      </c>
      <c r="AB1035" s="1">
        <v>358</v>
      </c>
      <c r="AC1035" s="29">
        <v>9216</v>
      </c>
    </row>
    <row r="1036" spans="1:29">
      <c r="A1036" s="12">
        <v>76</v>
      </c>
      <c r="B1036" s="12" t="s">
        <v>1012</v>
      </c>
      <c r="C1036" s="12">
        <v>76606</v>
      </c>
      <c r="D1036" s="12" t="s">
        <v>740</v>
      </c>
      <c r="E1036" s="17">
        <v>0.72064104625609693</v>
      </c>
      <c r="F1036" s="17">
        <v>0.27935895374390307</v>
      </c>
      <c r="G1036" s="13">
        <v>1</v>
      </c>
      <c r="H1036" s="13">
        <v>2.5791291003261079</v>
      </c>
      <c r="I1036" s="14">
        <v>9.8340302875209069</v>
      </c>
      <c r="J1036" s="16">
        <v>0.85580000000000001</v>
      </c>
      <c r="K1036" s="16">
        <v>0.85580000000000001</v>
      </c>
      <c r="L1036" s="13">
        <v>0.51119999999999999</v>
      </c>
      <c r="M1036" s="13">
        <v>4.1799999999999997E-2</v>
      </c>
      <c r="N1036" s="13">
        <v>7.3499999999999996E-2</v>
      </c>
      <c r="O1036" s="13">
        <v>5.0500000000000003E-2</v>
      </c>
      <c r="P1036" s="16">
        <v>0.79599999999999993</v>
      </c>
      <c r="Q1036" s="16">
        <v>0.37969999999999998</v>
      </c>
      <c r="R1036" s="16">
        <v>0.58719999999999994</v>
      </c>
      <c r="S1036" s="16">
        <f t="shared" si="34"/>
        <v>0.58763333333333334</v>
      </c>
      <c r="T1036" s="18">
        <v>1</v>
      </c>
      <c r="U1036" s="1">
        <v>0</v>
      </c>
      <c r="V1036" s="1">
        <f t="shared" si="33"/>
        <v>0</v>
      </c>
      <c r="W1036" s="26"/>
      <c r="X1036">
        <v>7.3400000000000007E-2</v>
      </c>
      <c r="Y1036" s="1">
        <v>0.48249999999999998</v>
      </c>
      <c r="Z1036" s="1">
        <v>0.39369999999999999</v>
      </c>
      <c r="AA1036" s="1">
        <v>15926</v>
      </c>
      <c r="AB1036" s="1">
        <v>86</v>
      </c>
      <c r="AC1036" s="29">
        <v>3080</v>
      </c>
    </row>
    <row r="1037" spans="1:29">
      <c r="A1037" s="12">
        <v>76</v>
      </c>
      <c r="B1037" s="12" t="s">
        <v>1012</v>
      </c>
      <c r="C1037" s="12">
        <v>76616</v>
      </c>
      <c r="D1037" s="12" t="s">
        <v>1035</v>
      </c>
      <c r="E1037" s="17">
        <v>0.78436142484795834</v>
      </c>
      <c r="F1037" s="17">
        <v>0.21563857515204171</v>
      </c>
      <c r="G1037" s="13">
        <v>1</v>
      </c>
      <c r="H1037" s="13">
        <v>3.6364124597207304</v>
      </c>
      <c r="I1037" s="14">
        <v>9.7564945287954679</v>
      </c>
      <c r="J1037" s="16">
        <v>0.72740000000000005</v>
      </c>
      <c r="K1037" s="16">
        <v>0.72740000000000005</v>
      </c>
      <c r="L1037" s="13">
        <v>0.39879999999999999</v>
      </c>
      <c r="M1037" s="13">
        <v>5.6300000000000003E-2</v>
      </c>
      <c r="N1037" s="13">
        <v>0.1033</v>
      </c>
      <c r="O1037" s="13">
        <v>8.8099999999999998E-2</v>
      </c>
      <c r="P1037" s="16">
        <v>0.85060000000000002</v>
      </c>
      <c r="Q1037" s="16">
        <v>0.50560000000000005</v>
      </c>
      <c r="R1037" s="16">
        <v>0.56179999999999997</v>
      </c>
      <c r="S1037" s="16">
        <f t="shared" si="34"/>
        <v>0.63933333333333342</v>
      </c>
      <c r="T1037" s="18">
        <v>0.89080911233307103</v>
      </c>
      <c r="U1037" s="1">
        <v>10.1010101</v>
      </c>
      <c r="V1037" s="1">
        <f t="shared" si="33"/>
        <v>2.4070361041780397</v>
      </c>
      <c r="W1037" s="25"/>
      <c r="X1037">
        <v>0.14460000000000001</v>
      </c>
      <c r="Y1037" s="1">
        <v>0.24629999999999999</v>
      </c>
      <c r="Z1037" s="1">
        <v>0.22020000000000001</v>
      </c>
      <c r="AA1037" s="1">
        <v>16128</v>
      </c>
      <c r="AB1037" s="1">
        <v>99</v>
      </c>
      <c r="AC1037" s="29">
        <v>3147</v>
      </c>
    </row>
    <row r="1038" spans="1:29">
      <c r="A1038" s="12">
        <v>76</v>
      </c>
      <c r="B1038" s="12" t="s">
        <v>1012</v>
      </c>
      <c r="C1038" s="12">
        <v>76622</v>
      </c>
      <c r="D1038" s="12" t="s">
        <v>1036</v>
      </c>
      <c r="E1038" s="17">
        <v>0.6790222803399889</v>
      </c>
      <c r="F1038" s="17">
        <v>0.32097771966001104</v>
      </c>
      <c r="G1038" s="13">
        <v>1</v>
      </c>
      <c r="H1038" s="13">
        <v>2.1153153153153155</v>
      </c>
      <c r="I1038" s="14">
        <v>10.59079270161244</v>
      </c>
      <c r="J1038" s="16">
        <v>0.75990000000000002</v>
      </c>
      <c r="K1038" s="16">
        <v>0.75839999999999996</v>
      </c>
      <c r="L1038" s="13">
        <v>0.56969999999999998</v>
      </c>
      <c r="M1038" s="13">
        <v>3.6299999999999999E-2</v>
      </c>
      <c r="N1038" s="13">
        <v>6.9599999999999995E-2</v>
      </c>
      <c r="O1038" s="13">
        <v>4.7899999999999998E-2</v>
      </c>
      <c r="P1038" s="16">
        <v>0.74060000000000004</v>
      </c>
      <c r="Q1038" s="16">
        <v>0.64500000000000002</v>
      </c>
      <c r="R1038" s="16">
        <v>0.67280000000000006</v>
      </c>
      <c r="S1038" s="16">
        <f t="shared" si="34"/>
        <v>0.68613333333333337</v>
      </c>
      <c r="T1038" s="18">
        <v>0.902251917842118</v>
      </c>
      <c r="U1038" s="1">
        <v>19.920318730000002</v>
      </c>
      <c r="V1038" s="1">
        <f t="shared" si="33"/>
        <v>3.0407208747403165</v>
      </c>
      <c r="W1038" s="26"/>
      <c r="X1038">
        <v>5.91E-2</v>
      </c>
      <c r="Y1038" s="1">
        <v>0.77939999999999998</v>
      </c>
      <c r="Z1038" s="1">
        <v>0.57630000000000003</v>
      </c>
      <c r="AA1038" s="1">
        <v>38443</v>
      </c>
      <c r="AB1038" s="1">
        <v>251</v>
      </c>
      <c r="AC1038" s="29">
        <v>6953</v>
      </c>
    </row>
    <row r="1039" spans="1:29">
      <c r="A1039" s="12">
        <v>76</v>
      </c>
      <c r="B1039" s="12" t="s">
        <v>1012</v>
      </c>
      <c r="C1039" s="12">
        <v>76670</v>
      </c>
      <c r="D1039" s="12" t="s">
        <v>108</v>
      </c>
      <c r="E1039" s="17">
        <v>0.67235166946913283</v>
      </c>
      <c r="F1039" s="17">
        <v>0.32764833053086717</v>
      </c>
      <c r="G1039" s="13">
        <v>0.68863034847816496</v>
      </c>
      <c r="H1039" s="13">
        <v>2.0515514292694843</v>
      </c>
      <c r="I1039" s="14">
        <v>9.4326836031196226</v>
      </c>
      <c r="J1039" s="16">
        <v>0.71850000000000003</v>
      </c>
      <c r="K1039" s="16">
        <v>0.71830000000000005</v>
      </c>
      <c r="L1039" s="13">
        <v>0.4667</v>
      </c>
      <c r="M1039" s="13">
        <v>5.6099999999999997E-2</v>
      </c>
      <c r="N1039" s="13">
        <v>7.1099999999999997E-2</v>
      </c>
      <c r="O1039" s="13">
        <v>4.3299999999999998E-2</v>
      </c>
      <c r="P1039" s="16">
        <v>0.82930000000000004</v>
      </c>
      <c r="Q1039" s="16">
        <v>0.77780000000000005</v>
      </c>
      <c r="R1039" s="16">
        <v>0.75080000000000002</v>
      </c>
      <c r="S1039" s="16">
        <f t="shared" si="34"/>
        <v>0.78596666666666659</v>
      </c>
      <c r="T1039" s="18">
        <v>0.91537732870224109</v>
      </c>
      <c r="U1039" s="1">
        <v>9.3457943930000003</v>
      </c>
      <c r="V1039" s="1">
        <f t="shared" si="33"/>
        <v>2.3365800982928011</v>
      </c>
      <c r="W1039" s="25"/>
      <c r="X1039">
        <v>0.1171</v>
      </c>
      <c r="Y1039" s="1">
        <v>0.68720000000000003</v>
      </c>
      <c r="Z1039" s="1">
        <v>0.52310000000000001</v>
      </c>
      <c r="AA1039" s="1">
        <v>17270</v>
      </c>
      <c r="AB1039" s="1">
        <v>107</v>
      </c>
      <c r="AC1039" s="29">
        <v>3313</v>
      </c>
    </row>
    <row r="1040" spans="1:29">
      <c r="A1040" s="12">
        <v>76</v>
      </c>
      <c r="B1040" s="12" t="s">
        <v>1012</v>
      </c>
      <c r="C1040" s="12">
        <v>76736</v>
      </c>
      <c r="D1040" s="12" t="s">
        <v>1038</v>
      </c>
      <c r="E1040" s="17">
        <v>0.8109921676877847</v>
      </c>
      <c r="F1040" s="17">
        <v>0.18898539015687066</v>
      </c>
      <c r="G1040" s="13">
        <v>1</v>
      </c>
      <c r="H1040" s="13">
        <v>4.2907860365708856</v>
      </c>
      <c r="I1040" s="14">
        <v>10.704591874601165</v>
      </c>
      <c r="J1040" s="16">
        <v>0.62919999999999998</v>
      </c>
      <c r="K1040" s="16">
        <v>0.62919999999999998</v>
      </c>
      <c r="L1040" s="13">
        <v>0.35959999999999998</v>
      </c>
      <c r="M1040" s="13">
        <v>7.3800000000000004E-2</v>
      </c>
      <c r="N1040" s="13">
        <v>9.9599999999999994E-2</v>
      </c>
      <c r="O1040" s="13">
        <v>5.96E-2</v>
      </c>
      <c r="P1040" s="16">
        <v>0.63350000000000006</v>
      </c>
      <c r="Q1040" s="16">
        <v>0.46039999999999998</v>
      </c>
      <c r="R1040" s="16">
        <v>0.54139999999999999</v>
      </c>
      <c r="S1040" s="16">
        <f t="shared" si="34"/>
        <v>0.54510000000000003</v>
      </c>
      <c r="T1040" s="18">
        <v>0.83546952654982998</v>
      </c>
      <c r="U1040" s="1">
        <v>3.787878788</v>
      </c>
      <c r="V1040" s="1">
        <f t="shared" si="33"/>
        <v>1.5660874715858031</v>
      </c>
      <c r="W1040" s="25"/>
      <c r="X1040">
        <v>5.0999999999999997E-2</v>
      </c>
      <c r="Y1040" s="1">
        <v>0.2319</v>
      </c>
      <c r="Z1040" s="1">
        <v>0.20860000000000001</v>
      </c>
      <c r="AA1040" s="1">
        <v>43923</v>
      </c>
      <c r="AB1040" s="1">
        <v>264</v>
      </c>
      <c r="AC1040" s="29">
        <v>7753</v>
      </c>
    </row>
    <row r="1041" spans="1:29">
      <c r="A1041" s="12">
        <v>76</v>
      </c>
      <c r="B1041" s="12" t="s">
        <v>1012</v>
      </c>
      <c r="C1041" s="12">
        <v>76823</v>
      </c>
      <c r="D1041" s="12" t="s">
        <v>1039</v>
      </c>
      <c r="E1041" s="17">
        <v>0.83249465775143039</v>
      </c>
      <c r="F1041" s="17">
        <v>0.16750534224856967</v>
      </c>
      <c r="G1041" s="13">
        <v>0.96745581860620211</v>
      </c>
      <c r="H1041" s="13">
        <v>4.9679144385026737</v>
      </c>
      <c r="I1041" s="14">
        <v>9.5824555004027925</v>
      </c>
      <c r="J1041" s="16">
        <v>0.5958</v>
      </c>
      <c r="K1041" s="16">
        <v>0.59550000000000003</v>
      </c>
      <c r="L1041" s="13">
        <v>0.37380000000000002</v>
      </c>
      <c r="M1041" s="13">
        <v>6.1100000000000002E-2</v>
      </c>
      <c r="N1041" s="13">
        <v>4.7600000000000003E-2</v>
      </c>
      <c r="O1041" s="13">
        <v>7.7399999999999997E-2</v>
      </c>
      <c r="P1041" s="16">
        <v>0.73540000000000005</v>
      </c>
      <c r="Q1041" s="16">
        <v>0.58590000000000009</v>
      </c>
      <c r="R1041" s="16">
        <v>0.7702</v>
      </c>
      <c r="S1041" s="16">
        <f t="shared" si="34"/>
        <v>0.6971666666666666</v>
      </c>
      <c r="T1041" s="18">
        <v>0.66138698630136905</v>
      </c>
      <c r="U1041" s="1">
        <v>37.5</v>
      </c>
      <c r="V1041" s="1">
        <f t="shared" si="33"/>
        <v>3.6506582412937387</v>
      </c>
      <c r="W1041" s="26"/>
      <c r="X1041">
        <v>3.3300000000000003E-2</v>
      </c>
      <c r="Y1041" s="1">
        <v>0.29110000000000003</v>
      </c>
      <c r="Z1041" s="1">
        <v>0.2555</v>
      </c>
      <c r="AA1041" s="1">
        <v>14973</v>
      </c>
      <c r="AB1041" s="1">
        <v>80</v>
      </c>
      <c r="AC1041" s="29">
        <v>3102</v>
      </c>
    </row>
    <row r="1042" spans="1:29">
      <c r="A1042" s="12">
        <v>76</v>
      </c>
      <c r="B1042" s="12" t="s">
        <v>1012</v>
      </c>
      <c r="C1042" s="12">
        <v>76828</v>
      </c>
      <c r="D1042" s="12" t="s">
        <v>1040</v>
      </c>
      <c r="E1042" s="17">
        <v>0.86694376026272579</v>
      </c>
      <c r="F1042" s="17">
        <v>0.13305623973727421</v>
      </c>
      <c r="G1042" s="13">
        <v>0.98683410978326924</v>
      </c>
      <c r="H1042" s="13">
        <v>6.5131071703932149</v>
      </c>
      <c r="I1042" s="14">
        <v>9.877605482822025</v>
      </c>
      <c r="J1042" s="16">
        <v>0.64629999999999999</v>
      </c>
      <c r="K1042" s="16">
        <v>0.64629999999999999</v>
      </c>
      <c r="L1042" s="13">
        <v>0.46860000000000002</v>
      </c>
      <c r="M1042" s="13">
        <v>4.58E-2</v>
      </c>
      <c r="N1042" s="13">
        <v>5.6000000000000001E-2</v>
      </c>
      <c r="O1042" s="13">
        <v>3.8899999999999997E-2</v>
      </c>
      <c r="P1042" s="16">
        <v>0.72920000000000007</v>
      </c>
      <c r="Q1042" s="16">
        <v>0.55100000000000005</v>
      </c>
      <c r="R1042" s="16">
        <v>0.55100000000000005</v>
      </c>
      <c r="S1042" s="16">
        <f t="shared" si="34"/>
        <v>0.61040000000000016</v>
      </c>
      <c r="T1042" s="18">
        <v>0.82810047095761308</v>
      </c>
      <c r="U1042" s="1">
        <v>8.5470085470000008</v>
      </c>
      <c r="V1042" s="1">
        <f t="shared" si="33"/>
        <v>2.2562278642705493</v>
      </c>
      <c r="W1042" s="25"/>
      <c r="X1042">
        <v>3.8699999999999998E-2</v>
      </c>
      <c r="Y1042" s="1">
        <v>0.26</v>
      </c>
      <c r="Z1042" s="1">
        <v>0.2311</v>
      </c>
      <c r="AA1042" s="1">
        <v>19948</v>
      </c>
      <c r="AB1042" s="1">
        <v>117</v>
      </c>
      <c r="AC1042" s="29">
        <v>4117</v>
      </c>
    </row>
    <row r="1043" spans="1:29">
      <c r="A1043" s="12">
        <v>76</v>
      </c>
      <c r="B1043" s="12" t="s">
        <v>1012</v>
      </c>
      <c r="C1043" s="12">
        <v>76834</v>
      </c>
      <c r="D1043" s="12" t="s">
        <v>1041</v>
      </c>
      <c r="E1043" s="17">
        <v>0.56585238229870405</v>
      </c>
      <c r="F1043" s="17">
        <v>0.4341476177012959</v>
      </c>
      <c r="G1043" s="13">
        <v>1</v>
      </c>
      <c r="H1043" s="13">
        <v>1.3033513471482445</v>
      </c>
      <c r="I1043" s="14">
        <v>12.375722588804356</v>
      </c>
      <c r="J1043" s="16">
        <v>0.65539999999999998</v>
      </c>
      <c r="K1043" s="16">
        <v>0.65439999999999998</v>
      </c>
      <c r="L1043" s="13">
        <v>0.437</v>
      </c>
      <c r="M1043" s="13">
        <v>5.6800000000000003E-2</v>
      </c>
      <c r="N1043" s="13">
        <v>8.2299999999999998E-2</v>
      </c>
      <c r="O1043" s="13">
        <v>6.2700000000000006E-2</v>
      </c>
      <c r="P1043" s="16">
        <v>0.84150000000000003</v>
      </c>
      <c r="Q1043" s="16">
        <v>0.84150000000000003</v>
      </c>
      <c r="R1043" s="16">
        <v>0.81540000000000001</v>
      </c>
      <c r="S1043" s="16">
        <f t="shared" si="34"/>
        <v>0.8328000000000001</v>
      </c>
      <c r="T1043" s="18">
        <v>0.68490300060414799</v>
      </c>
      <c r="U1043" s="1">
        <v>10.989010990000001</v>
      </c>
      <c r="V1043" s="1">
        <f t="shared" si="33"/>
        <v>2.483990479398714</v>
      </c>
      <c r="W1043" s="26"/>
      <c r="X1043">
        <v>0.1295</v>
      </c>
      <c r="Y1043" s="1">
        <v>1.4433</v>
      </c>
      <c r="Z1043" s="1">
        <v>0.89329999999999998</v>
      </c>
      <c r="AA1043" s="1">
        <v>224250</v>
      </c>
      <c r="AB1043" s="1">
        <v>1274</v>
      </c>
      <c r="AC1043" s="29">
        <v>36853</v>
      </c>
    </row>
    <row r="1044" spans="1:29">
      <c r="A1044" s="12">
        <v>76</v>
      </c>
      <c r="B1044" s="12" t="s">
        <v>1012</v>
      </c>
      <c r="C1044" s="12">
        <v>76845</v>
      </c>
      <c r="D1044" s="12" t="s">
        <v>1042</v>
      </c>
      <c r="E1044" s="17">
        <v>0.79301268245991863</v>
      </c>
      <c r="F1044" s="17">
        <v>0.20698731754008137</v>
      </c>
      <c r="G1044" s="13">
        <v>0.71668667466986791</v>
      </c>
      <c r="H1044" s="13">
        <v>3.8267898383371826</v>
      </c>
      <c r="I1044" s="14">
        <v>8.3380665255188013</v>
      </c>
      <c r="J1044" s="16">
        <v>0.62219999999999998</v>
      </c>
      <c r="K1044" s="16">
        <v>0.62219999999999998</v>
      </c>
      <c r="L1044" s="13">
        <v>0.38950000000000001</v>
      </c>
      <c r="M1044" s="13">
        <v>7.5800000000000006E-2</v>
      </c>
      <c r="N1044" s="13">
        <v>8.9099999999999999E-2</v>
      </c>
      <c r="O1044" s="13">
        <v>2.93E-2</v>
      </c>
      <c r="P1044" s="16">
        <v>0.58860000000000001</v>
      </c>
      <c r="Q1044" s="16">
        <v>0.36299999999999999</v>
      </c>
      <c r="R1044" s="16">
        <v>0.36799999999999999</v>
      </c>
      <c r="S1044" s="16">
        <f t="shared" si="34"/>
        <v>0.43986666666666663</v>
      </c>
      <c r="T1044" s="18">
        <v>0.83376399655469402</v>
      </c>
      <c r="U1044" s="1">
        <v>0</v>
      </c>
      <c r="V1044" s="1">
        <f t="shared" si="33"/>
        <v>0</v>
      </c>
      <c r="W1044" s="25"/>
      <c r="X1044">
        <v>3.61E-2</v>
      </c>
      <c r="Y1044" s="1">
        <v>0.46789999999999998</v>
      </c>
      <c r="Z1044" s="1">
        <v>0.38379999999999997</v>
      </c>
      <c r="AA1044" s="1">
        <v>5636</v>
      </c>
      <c r="AB1044" s="1">
        <v>24</v>
      </c>
      <c r="AC1044" s="29">
        <v>1128</v>
      </c>
    </row>
    <row r="1045" spans="1:29">
      <c r="A1045" s="12">
        <v>76</v>
      </c>
      <c r="B1045" s="12" t="s">
        <v>1012</v>
      </c>
      <c r="C1045" s="12">
        <v>76863</v>
      </c>
      <c r="D1045" s="12" t="s">
        <v>1043</v>
      </c>
      <c r="E1045" s="17">
        <v>0.83255933952528383</v>
      </c>
      <c r="F1045" s="17">
        <v>0.1674406604747162</v>
      </c>
      <c r="G1045" s="13">
        <v>1</v>
      </c>
      <c r="H1045" s="13">
        <v>4.9684372594303312</v>
      </c>
      <c r="I1045" s="14">
        <v>8.955835144218959</v>
      </c>
      <c r="J1045" s="16">
        <v>0.65339999999999998</v>
      </c>
      <c r="K1045" s="16">
        <v>0.65339999999999998</v>
      </c>
      <c r="L1045" s="13">
        <v>0.42480000000000001</v>
      </c>
      <c r="M1045" s="13">
        <v>4.6600000000000003E-2</v>
      </c>
      <c r="N1045" s="13">
        <v>7.3800000000000004E-2</v>
      </c>
      <c r="O1045" s="13">
        <v>3.4700000000000002E-2</v>
      </c>
      <c r="P1045" s="16">
        <v>0.56740000000000002</v>
      </c>
      <c r="Q1045" s="16">
        <v>0.4844</v>
      </c>
      <c r="R1045" s="16">
        <v>0.47700000000000004</v>
      </c>
      <c r="S1045" s="16">
        <f t="shared" si="34"/>
        <v>0.50960000000000005</v>
      </c>
      <c r="T1045" s="18">
        <v>0.71003360537686011</v>
      </c>
      <c r="U1045" s="1">
        <v>15.38461538</v>
      </c>
      <c r="V1045" s="1">
        <f t="shared" si="33"/>
        <v>2.7963428079661981</v>
      </c>
      <c r="W1045" s="26"/>
      <c r="X1045">
        <v>4.0599999999999997E-2</v>
      </c>
      <c r="Y1045" s="1">
        <v>6.4600000000000005E-2</v>
      </c>
      <c r="Z1045" s="1">
        <v>6.2600000000000003E-2</v>
      </c>
      <c r="AA1045" s="1">
        <v>7457</v>
      </c>
      <c r="AB1045" s="1">
        <v>65</v>
      </c>
      <c r="AC1045" s="29">
        <v>1402</v>
      </c>
    </row>
    <row r="1046" spans="1:29">
      <c r="A1046" s="12">
        <v>76</v>
      </c>
      <c r="B1046" s="12" t="s">
        <v>1012</v>
      </c>
      <c r="C1046" s="12">
        <v>76869</v>
      </c>
      <c r="D1046" s="12" t="s">
        <v>1044</v>
      </c>
      <c r="E1046" s="17">
        <v>0.7035066981875493</v>
      </c>
      <c r="F1046" s="17">
        <v>0.29649330181245076</v>
      </c>
      <c r="G1046" s="13">
        <v>0.76382514483485064</v>
      </c>
      <c r="H1046" s="13">
        <v>2.3719694453669877</v>
      </c>
      <c r="I1046" s="14">
        <v>9.2255245073012233</v>
      </c>
      <c r="J1046" s="16">
        <v>0.67400000000000004</v>
      </c>
      <c r="K1046" s="16">
        <v>0.67400000000000004</v>
      </c>
      <c r="L1046" s="13">
        <v>0.44719999999999999</v>
      </c>
      <c r="M1046" s="13">
        <v>7.0900000000000005E-2</v>
      </c>
      <c r="N1046" s="13">
        <v>5.6000000000000001E-2</v>
      </c>
      <c r="O1046" s="13">
        <v>3.9899999999999998E-2</v>
      </c>
      <c r="P1046" s="16">
        <v>0.7016</v>
      </c>
      <c r="Q1046" s="16">
        <v>0.58450000000000002</v>
      </c>
      <c r="R1046" s="16">
        <v>0.60919999999999996</v>
      </c>
      <c r="S1046" s="16">
        <f t="shared" si="34"/>
        <v>0.6317666666666667</v>
      </c>
      <c r="T1046" s="18">
        <v>0.83626198083067094</v>
      </c>
      <c r="U1046" s="1">
        <v>24.390243900000002</v>
      </c>
      <c r="V1046" s="1">
        <f t="shared" si="33"/>
        <v>3.2343650018145995</v>
      </c>
      <c r="W1046" s="25"/>
      <c r="X1046">
        <v>5.8200000000000002E-2</v>
      </c>
      <c r="Y1046" s="1">
        <v>0.52939999999999998</v>
      </c>
      <c r="Z1046" s="1">
        <v>0.4249</v>
      </c>
      <c r="AA1046" s="1">
        <v>13893</v>
      </c>
      <c r="AB1046" s="1">
        <v>82</v>
      </c>
      <c r="AC1046" s="29">
        <v>2484</v>
      </c>
    </row>
    <row r="1047" spans="1:29">
      <c r="A1047" s="12">
        <v>76</v>
      </c>
      <c r="B1047" s="12" t="s">
        <v>1012</v>
      </c>
      <c r="C1047" s="12">
        <v>76890</v>
      </c>
      <c r="D1047" s="12" t="s">
        <v>1045</v>
      </c>
      <c r="E1047" s="17">
        <v>0.68575904106790164</v>
      </c>
      <c r="F1047" s="17">
        <v>0.31424095893209836</v>
      </c>
      <c r="G1047" s="13">
        <v>0.89160796696623756</v>
      </c>
      <c r="H1047" s="13">
        <v>2.1817984832069337</v>
      </c>
      <c r="I1047" s="14">
        <v>9.5945137446167248</v>
      </c>
      <c r="J1047" s="16">
        <v>0.78010000000000002</v>
      </c>
      <c r="K1047" s="16">
        <v>0.78010000000000002</v>
      </c>
      <c r="L1047" s="13">
        <v>0.47799999999999998</v>
      </c>
      <c r="M1047" s="13">
        <v>4.0899999999999999E-2</v>
      </c>
      <c r="N1047" s="13">
        <v>6.8099999999999994E-2</v>
      </c>
      <c r="O1047" s="13">
        <v>5.6300000000000003E-2</v>
      </c>
      <c r="P1047" s="16">
        <v>0.84089999999999998</v>
      </c>
      <c r="Q1047" s="16">
        <v>0.51490000000000002</v>
      </c>
      <c r="R1047" s="16">
        <v>0.55409999999999993</v>
      </c>
      <c r="S1047" s="16">
        <f t="shared" si="34"/>
        <v>0.63663333333333327</v>
      </c>
      <c r="T1047" s="18">
        <v>1</v>
      </c>
      <c r="U1047" s="1">
        <v>34.883720930000003</v>
      </c>
      <c r="V1047" s="1">
        <f t="shared" si="33"/>
        <v>3.5802837366631177</v>
      </c>
      <c r="W1047" s="26"/>
      <c r="X1047">
        <v>0.40510000000000002</v>
      </c>
      <c r="Y1047" s="1">
        <v>0.38850000000000001</v>
      </c>
      <c r="Z1047" s="1">
        <v>0.32819999999999999</v>
      </c>
      <c r="AA1047" s="1">
        <v>16743</v>
      </c>
      <c r="AB1047" s="1">
        <v>86</v>
      </c>
      <c r="AC1047" s="29">
        <v>3088</v>
      </c>
    </row>
    <row r="1048" spans="1:29">
      <c r="A1048" s="12">
        <v>76</v>
      </c>
      <c r="B1048" s="12" t="s">
        <v>1012</v>
      </c>
      <c r="C1048" s="12">
        <v>76892</v>
      </c>
      <c r="D1048" s="12" t="s">
        <v>1046</v>
      </c>
      <c r="E1048" s="17">
        <v>0.47835028672856361</v>
      </c>
      <c r="F1048" s="17">
        <v>0.52164971327143639</v>
      </c>
      <c r="G1048" s="13">
        <v>1</v>
      </c>
      <c r="H1048" s="13">
        <v>0.91698020611810893</v>
      </c>
      <c r="I1048" s="14">
        <v>11.671509161585975</v>
      </c>
      <c r="J1048" s="16">
        <v>1.0426</v>
      </c>
      <c r="K1048" s="16">
        <v>1.0319</v>
      </c>
      <c r="L1048" s="13">
        <v>0.5887</v>
      </c>
      <c r="M1048" s="13">
        <v>5.4899999999999997E-2</v>
      </c>
      <c r="N1048" s="13">
        <v>9.98E-2</v>
      </c>
      <c r="O1048" s="13">
        <v>8.4099999999999994E-2</v>
      </c>
      <c r="P1048" s="16">
        <v>0.90060000000000007</v>
      </c>
      <c r="Q1048" s="16">
        <v>0.89859999999999995</v>
      </c>
      <c r="R1048" s="16">
        <v>0.92459999999999998</v>
      </c>
      <c r="S1048" s="16">
        <f t="shared" si="34"/>
        <v>0.90793333333333326</v>
      </c>
      <c r="T1048" s="18">
        <v>1</v>
      </c>
      <c r="U1048" s="1">
        <v>7.1258907359999997</v>
      </c>
      <c r="V1048" s="1">
        <f t="shared" si="33"/>
        <v>2.09505535125313</v>
      </c>
      <c r="W1048" s="25"/>
      <c r="X1048" s="28">
        <v>15782</v>
      </c>
      <c r="Y1048" s="1">
        <v>8.1728000000000005</v>
      </c>
      <c r="Z1048" s="1">
        <v>2.2162000000000002</v>
      </c>
      <c r="AA1048" s="1">
        <v>114676</v>
      </c>
      <c r="AB1048" s="1">
        <v>842</v>
      </c>
      <c r="AC1048" s="29">
        <v>19373</v>
      </c>
    </row>
    <row r="1049" spans="1:29">
      <c r="A1049" s="12">
        <v>76</v>
      </c>
      <c r="B1049" s="12" t="s">
        <v>1012</v>
      </c>
      <c r="C1049" s="12">
        <v>76895</v>
      </c>
      <c r="D1049" s="12" t="s">
        <v>1047</v>
      </c>
      <c r="E1049" s="17">
        <v>0.58804505892822256</v>
      </c>
      <c r="F1049" s="17">
        <v>0.41195494107177738</v>
      </c>
      <c r="G1049" s="13">
        <v>1</v>
      </c>
      <c r="H1049" s="13">
        <v>1.4273747431642168</v>
      </c>
      <c r="I1049" s="14">
        <v>10.738004078558598</v>
      </c>
      <c r="J1049" s="16">
        <v>0.72289999999999999</v>
      </c>
      <c r="K1049" s="16">
        <v>0.72289999999999999</v>
      </c>
      <c r="L1049" s="13">
        <v>0.50070000000000003</v>
      </c>
      <c r="M1049" s="13">
        <v>4.1000000000000002E-2</v>
      </c>
      <c r="N1049" s="13">
        <v>5.7500000000000002E-2</v>
      </c>
      <c r="O1049" s="13">
        <v>0.03</v>
      </c>
      <c r="P1049" s="16">
        <v>0.76359999999999995</v>
      </c>
      <c r="Q1049" s="16">
        <v>0.76390000000000002</v>
      </c>
      <c r="R1049" s="16">
        <v>0.99620000000000009</v>
      </c>
      <c r="S1049" s="16">
        <f t="shared" si="34"/>
        <v>0.84123333333333328</v>
      </c>
      <c r="T1049" s="18">
        <v>0.72299168975069195</v>
      </c>
      <c r="U1049" s="1">
        <v>21.428571430000002</v>
      </c>
      <c r="V1049" s="1">
        <f t="shared" si="33"/>
        <v>3.1103356563566891</v>
      </c>
      <c r="W1049" s="26"/>
      <c r="X1049">
        <v>0.46250000000000002</v>
      </c>
      <c r="Y1049" s="1">
        <v>0.65169999999999995</v>
      </c>
      <c r="Z1049" s="1">
        <v>0.50180000000000002</v>
      </c>
      <c r="AA1049" s="1">
        <v>43760</v>
      </c>
      <c r="AB1049" s="1">
        <v>280</v>
      </c>
      <c r="AC1049" s="29">
        <v>7535</v>
      </c>
    </row>
    <row r="1050" spans="1:29">
      <c r="A1050" s="12">
        <v>81</v>
      </c>
      <c r="B1050" s="12" t="s">
        <v>138</v>
      </c>
      <c r="C1050" s="12">
        <v>81001</v>
      </c>
      <c r="D1050" s="12" t="s">
        <v>138</v>
      </c>
      <c r="E1050" s="17">
        <v>0.79301234788687747</v>
      </c>
      <c r="F1050" s="17">
        <v>0.20697952315533624</v>
      </c>
      <c r="G1050" s="13">
        <v>1</v>
      </c>
      <c r="H1050" s="13">
        <v>3.8312060637002712</v>
      </c>
      <c r="I1050" s="14">
        <v>11.720085965111101</v>
      </c>
      <c r="J1050" s="16">
        <v>0.97030000000000005</v>
      </c>
      <c r="K1050" s="16">
        <v>0.96940000000000004</v>
      </c>
      <c r="L1050" s="13">
        <v>0.45660000000000001</v>
      </c>
      <c r="M1050" s="13">
        <v>6.7599999999999993E-2</v>
      </c>
      <c r="N1050" s="13">
        <v>8.77E-2</v>
      </c>
      <c r="O1050" s="13">
        <v>6.4299999999999996E-2</v>
      </c>
      <c r="P1050" s="16">
        <v>0.58350000000000002</v>
      </c>
      <c r="Q1050" s="16">
        <v>0.59399999999999997</v>
      </c>
      <c r="R1050" s="16"/>
      <c r="S1050" s="16">
        <f t="shared" si="34"/>
        <v>0.39250000000000002</v>
      </c>
      <c r="T1050" s="18">
        <v>1</v>
      </c>
      <c r="U1050" s="1">
        <v>7.8563411900000002</v>
      </c>
      <c r="V1050" s="1">
        <f t="shared" si="33"/>
        <v>2.1811337210869763</v>
      </c>
      <c r="W1050" s="25"/>
      <c r="X1050">
        <v>0.158</v>
      </c>
      <c r="Y1050" s="1">
        <v>0.1002</v>
      </c>
      <c r="Z1050" s="1">
        <v>9.5500000000000002E-2</v>
      </c>
      <c r="AA1050" s="1">
        <v>90619</v>
      </c>
      <c r="AB1050" s="1">
        <v>891</v>
      </c>
      <c r="AC1050" s="29">
        <v>18754</v>
      </c>
    </row>
    <row r="1051" spans="1:29">
      <c r="A1051" s="12">
        <v>81</v>
      </c>
      <c r="B1051" s="12" t="s">
        <v>138</v>
      </c>
      <c r="C1051" s="12">
        <v>81065</v>
      </c>
      <c r="D1051" s="12" t="s">
        <v>139</v>
      </c>
      <c r="E1051" s="17">
        <v>0.91827364554637281</v>
      </c>
      <c r="F1051" s="17">
        <v>8.1726354453627179E-2</v>
      </c>
      <c r="G1051" s="13">
        <v>0.84123155505107827</v>
      </c>
      <c r="H1051" s="13">
        <v>11.233379183860615</v>
      </c>
      <c r="I1051" s="14">
        <v>10.884854161146471</v>
      </c>
      <c r="J1051" s="16">
        <v>0.65510000000000002</v>
      </c>
      <c r="K1051" s="16">
        <v>0.65500000000000003</v>
      </c>
      <c r="L1051" s="13">
        <v>0.25419999999999998</v>
      </c>
      <c r="M1051" s="13">
        <v>5.3499999999999999E-2</v>
      </c>
      <c r="N1051" s="13">
        <v>0.1065</v>
      </c>
      <c r="O1051" s="13">
        <v>9.0899999999999995E-2</v>
      </c>
      <c r="P1051" s="16">
        <v>0.46049999999999996</v>
      </c>
      <c r="Q1051" s="16">
        <v>0.43219999999999997</v>
      </c>
      <c r="R1051" s="16">
        <v>0.48369999999999996</v>
      </c>
      <c r="S1051" s="16">
        <f t="shared" si="34"/>
        <v>0.45879999999999993</v>
      </c>
      <c r="T1051" s="18">
        <v>0.79846572985374198</v>
      </c>
      <c r="U1051" s="1">
        <v>12.98701299</v>
      </c>
      <c r="V1051" s="1">
        <f t="shared" si="33"/>
        <v>2.6381292555162608</v>
      </c>
      <c r="W1051" s="26"/>
      <c r="X1051">
        <v>6.88E-2</v>
      </c>
      <c r="Y1051" s="1">
        <v>0.1741</v>
      </c>
      <c r="Z1051" s="1">
        <v>0.1605</v>
      </c>
      <c r="AA1051" s="1">
        <v>53319</v>
      </c>
      <c r="AB1051" s="1">
        <v>539</v>
      </c>
      <c r="AC1051" s="29">
        <v>12830</v>
      </c>
    </row>
    <row r="1052" spans="1:29">
      <c r="A1052" s="12">
        <v>81</v>
      </c>
      <c r="B1052" s="12" t="s">
        <v>138</v>
      </c>
      <c r="C1052" s="12">
        <v>81220</v>
      </c>
      <c r="D1052" s="12" t="s">
        <v>140</v>
      </c>
      <c r="E1052" s="17">
        <v>0.84738748060010349</v>
      </c>
      <c r="F1052" s="17">
        <v>0.15261251939989653</v>
      </c>
      <c r="G1052" s="13">
        <v>0.84484265734265729</v>
      </c>
      <c r="H1052" s="13">
        <v>5.5431472081218276</v>
      </c>
      <c r="I1052" s="14">
        <v>8.2602342916072971</v>
      </c>
      <c r="J1052" s="16">
        <v>0.86670000000000003</v>
      </c>
      <c r="K1052" s="16">
        <v>0.86670000000000003</v>
      </c>
      <c r="L1052" s="13">
        <v>0.45929999999999999</v>
      </c>
      <c r="M1052" s="13">
        <v>3.6200000000000003E-2</v>
      </c>
      <c r="N1052" s="13">
        <v>0.1229</v>
      </c>
      <c r="O1052" s="13">
        <v>4.7899999999999998E-2</v>
      </c>
      <c r="P1052" s="16">
        <v>0.5907</v>
      </c>
      <c r="Q1052" s="16">
        <v>0.5907</v>
      </c>
      <c r="R1052" s="16">
        <v>0.5907</v>
      </c>
      <c r="S1052" s="16">
        <f t="shared" si="34"/>
        <v>0.5907</v>
      </c>
      <c r="T1052" s="18">
        <v>0.15183246073298401</v>
      </c>
      <c r="U1052" s="1">
        <v>0</v>
      </c>
      <c r="V1052" s="1">
        <f t="shared" si="33"/>
        <v>0</v>
      </c>
      <c r="W1052" s="25"/>
      <c r="X1052">
        <v>5.5800000000000002E-2</v>
      </c>
      <c r="Y1052" s="1">
        <v>4.4000000000000003E-3</v>
      </c>
      <c r="Z1052" s="1">
        <v>4.4000000000000003E-3</v>
      </c>
      <c r="AA1052" s="1">
        <v>4135</v>
      </c>
      <c r="AB1052" s="1">
        <v>38</v>
      </c>
      <c r="AC1052" s="29">
        <v>827</v>
      </c>
    </row>
    <row r="1053" spans="1:29">
      <c r="A1053" s="12">
        <v>81</v>
      </c>
      <c r="B1053" s="12" t="s">
        <v>138</v>
      </c>
      <c r="C1053" s="12">
        <v>81300</v>
      </c>
      <c r="D1053" s="12" t="s">
        <v>141</v>
      </c>
      <c r="E1053" s="17">
        <v>0.91304347826086951</v>
      </c>
      <c r="F1053" s="17">
        <v>8.6956521739130432E-2</v>
      </c>
      <c r="G1053" s="13">
        <v>0.96855111992726672</v>
      </c>
      <c r="H1053" s="13">
        <v>10.494850416871015</v>
      </c>
      <c r="I1053" s="14">
        <v>10.062113915818548</v>
      </c>
      <c r="J1053" s="16">
        <v>0.82299999999999995</v>
      </c>
      <c r="K1053" s="16">
        <v>0.82299999999999995</v>
      </c>
      <c r="L1053" s="13">
        <v>0.40389999999999998</v>
      </c>
      <c r="M1053" s="13">
        <v>4.7399999999999998E-2</v>
      </c>
      <c r="N1053" s="13">
        <v>0.109</v>
      </c>
      <c r="O1053" s="13">
        <v>0.1047</v>
      </c>
      <c r="P1053" s="16">
        <v>0.62309999999999999</v>
      </c>
      <c r="Q1053" s="16">
        <v>0.31120000000000003</v>
      </c>
      <c r="R1053" s="16">
        <v>0.61429999999999996</v>
      </c>
      <c r="S1053" s="16">
        <f t="shared" si="34"/>
        <v>0.51619999999999999</v>
      </c>
      <c r="T1053" s="18">
        <v>1</v>
      </c>
      <c r="U1053" s="1">
        <v>8.2304526750000004</v>
      </c>
      <c r="V1053" s="1">
        <f t="shared" si="33"/>
        <v>2.2225080911908055</v>
      </c>
      <c r="W1053" s="26"/>
      <c r="X1053">
        <v>4.8000000000000001E-2</v>
      </c>
      <c r="Y1053" s="1">
        <v>4.2200000000000001E-2</v>
      </c>
      <c r="Z1053" s="1">
        <v>4.1300000000000003E-2</v>
      </c>
      <c r="AA1053" s="1">
        <v>20073</v>
      </c>
      <c r="AB1053" s="1">
        <v>243</v>
      </c>
      <c r="AC1053" s="29">
        <v>5002</v>
      </c>
    </row>
    <row r="1054" spans="1:29">
      <c r="A1054" s="12">
        <v>81</v>
      </c>
      <c r="B1054" s="12" t="s">
        <v>138</v>
      </c>
      <c r="C1054" s="12">
        <v>81591</v>
      </c>
      <c r="D1054" s="12" t="s">
        <v>142</v>
      </c>
      <c r="E1054" s="17">
        <v>0.85879723689557086</v>
      </c>
      <c r="F1054" s="17">
        <v>0.14120276310442909</v>
      </c>
      <c r="G1054" s="13">
        <v>0.94021012416427885</v>
      </c>
      <c r="H1054" s="13">
        <v>6.0732758620689653</v>
      </c>
      <c r="I1054" s="14">
        <v>8.5016733797582003</v>
      </c>
      <c r="J1054" s="16">
        <v>0.71689999999999998</v>
      </c>
      <c r="K1054" s="16">
        <v>0.71689999999999998</v>
      </c>
      <c r="L1054" s="13">
        <v>0.30180000000000001</v>
      </c>
      <c r="M1054" s="13">
        <v>5.6000000000000001E-2</v>
      </c>
      <c r="N1054" s="13">
        <v>5.9700000000000003E-2</v>
      </c>
      <c r="O1054" s="13">
        <v>3.61E-2</v>
      </c>
      <c r="P1054" s="16">
        <v>0.5282</v>
      </c>
      <c r="Q1054" s="16">
        <v>0.5282</v>
      </c>
      <c r="R1054" s="16">
        <v>0.52689999999999992</v>
      </c>
      <c r="S1054" s="16">
        <f t="shared" si="34"/>
        <v>0.52776666666666661</v>
      </c>
      <c r="T1054" s="18">
        <v>0.47186147186147104</v>
      </c>
      <c r="U1054" s="1">
        <v>19.23076923</v>
      </c>
      <c r="V1054" s="1">
        <f t="shared" si="33"/>
        <v>3.0072046746782051</v>
      </c>
      <c r="W1054" s="25"/>
      <c r="X1054">
        <v>3.6600000000000001E-2</v>
      </c>
      <c r="Y1054" s="1">
        <v>8.3999999999999995E-3</v>
      </c>
      <c r="Z1054" s="1">
        <v>8.3999999999999995E-3</v>
      </c>
      <c r="AA1054" s="1">
        <v>4673</v>
      </c>
      <c r="AB1054" s="1">
        <v>52</v>
      </c>
      <c r="AC1054" s="29">
        <v>984</v>
      </c>
    </row>
    <row r="1055" spans="1:29">
      <c r="A1055" s="12">
        <v>81</v>
      </c>
      <c r="B1055" s="12" t="s">
        <v>138</v>
      </c>
      <c r="C1055" s="12">
        <v>81736</v>
      </c>
      <c r="D1055" s="12" t="s">
        <v>143</v>
      </c>
      <c r="E1055" s="17">
        <v>0.84930959402474993</v>
      </c>
      <c r="F1055" s="17">
        <v>0.15067662541686189</v>
      </c>
      <c r="G1055" s="13">
        <v>1</v>
      </c>
      <c r="H1055" s="13">
        <v>5.6361225422953822</v>
      </c>
      <c r="I1055" s="14">
        <v>11.192265552021242</v>
      </c>
      <c r="J1055" s="16">
        <v>0.86650000000000005</v>
      </c>
      <c r="K1055" s="16">
        <v>0.86650000000000005</v>
      </c>
      <c r="L1055" s="13">
        <v>0.44469999999999998</v>
      </c>
      <c r="M1055" s="13">
        <v>4.4299999999999999E-2</v>
      </c>
      <c r="N1055" s="13">
        <v>8.1500000000000003E-2</v>
      </c>
      <c r="O1055" s="13">
        <v>7.22E-2</v>
      </c>
      <c r="P1055" s="16">
        <v>0.74459999999999993</v>
      </c>
      <c r="Q1055" s="16">
        <v>0.71120000000000005</v>
      </c>
      <c r="R1055" s="16">
        <v>0.71519999999999995</v>
      </c>
      <c r="S1055" s="16">
        <f t="shared" si="34"/>
        <v>0.72366666666666657</v>
      </c>
      <c r="T1055" s="18">
        <v>0.41525012141816398</v>
      </c>
      <c r="U1055" s="1">
        <v>18.48739496</v>
      </c>
      <c r="V1055" s="1">
        <f t="shared" si="33"/>
        <v>2.9697678442474951</v>
      </c>
      <c r="W1055" s="26"/>
      <c r="X1055">
        <v>5.4300000000000001E-2</v>
      </c>
      <c r="Y1055" s="1">
        <v>0.63480000000000003</v>
      </c>
      <c r="Z1055" s="1">
        <v>0.49149999999999999</v>
      </c>
      <c r="AA1055" s="1">
        <v>58996</v>
      </c>
      <c r="AB1055" s="1">
        <v>595</v>
      </c>
      <c r="AC1055" s="29">
        <v>13215</v>
      </c>
    </row>
    <row r="1056" spans="1:29">
      <c r="A1056" s="12">
        <v>81</v>
      </c>
      <c r="B1056" s="12" t="s">
        <v>138</v>
      </c>
      <c r="C1056" s="12">
        <v>81794</v>
      </c>
      <c r="D1056" s="12" t="s">
        <v>144</v>
      </c>
      <c r="E1056" s="17">
        <v>0.84952973007794885</v>
      </c>
      <c r="F1056" s="17">
        <v>0.15047026992205115</v>
      </c>
      <c r="G1056" s="13">
        <v>1</v>
      </c>
      <c r="H1056" s="13">
        <v>5.6452268835616435</v>
      </c>
      <c r="I1056" s="14">
        <v>11.036388540150964</v>
      </c>
      <c r="J1056" s="16">
        <v>1.0989</v>
      </c>
      <c r="K1056" s="16">
        <v>1.0978000000000001</v>
      </c>
      <c r="L1056" s="13">
        <v>0.47060000000000002</v>
      </c>
      <c r="M1056" s="13">
        <v>4.2500000000000003E-2</v>
      </c>
      <c r="N1056" s="13">
        <v>8.7499999999999994E-2</v>
      </c>
      <c r="O1056" s="13">
        <v>8.9200000000000002E-2</v>
      </c>
      <c r="P1056" s="16">
        <v>0.58860000000000001</v>
      </c>
      <c r="Q1056" s="16">
        <v>0.58860000000000001</v>
      </c>
      <c r="R1056" s="16">
        <v>0.58860000000000001</v>
      </c>
      <c r="S1056" s="16">
        <f t="shared" si="34"/>
        <v>0.58860000000000001</v>
      </c>
      <c r="T1056" s="18">
        <v>1</v>
      </c>
      <c r="U1056" s="1">
        <v>6.2111801240000002</v>
      </c>
      <c r="V1056" s="1">
        <f t="shared" si="33"/>
        <v>1.9756326166824207</v>
      </c>
      <c r="W1056" s="25"/>
      <c r="X1056">
        <v>0.1196</v>
      </c>
      <c r="Y1056" s="1">
        <v>6.9000000000000006E-2</v>
      </c>
      <c r="Z1056" s="1">
        <v>6.6699999999999995E-2</v>
      </c>
      <c r="AA1056" s="1">
        <v>46068</v>
      </c>
      <c r="AB1056" s="1">
        <v>644</v>
      </c>
      <c r="AC1056" s="29">
        <v>10879</v>
      </c>
    </row>
    <row r="1057" spans="1:29">
      <c r="A1057" s="12">
        <v>85</v>
      </c>
      <c r="B1057" s="12" t="s">
        <v>379</v>
      </c>
      <c r="C1057" s="12">
        <v>85001</v>
      </c>
      <c r="D1057" s="12" t="s">
        <v>396</v>
      </c>
      <c r="E1057" s="17">
        <v>0.52379520448002526</v>
      </c>
      <c r="F1057" s="17">
        <v>0.47619493630950033</v>
      </c>
      <c r="G1057" s="13">
        <v>1</v>
      </c>
      <c r="H1057" s="13">
        <v>1.0999482401656315</v>
      </c>
      <c r="I1057" s="14">
        <v>12.22025657629653</v>
      </c>
      <c r="J1057" s="16">
        <v>0.97819999999999996</v>
      </c>
      <c r="K1057" s="16">
        <v>0.97770000000000001</v>
      </c>
      <c r="L1057" s="13">
        <v>0.5595</v>
      </c>
      <c r="M1057" s="13">
        <v>3.2800000000000003E-2</v>
      </c>
      <c r="N1057" s="13">
        <v>7.7299999999999994E-2</v>
      </c>
      <c r="O1057" s="13">
        <v>7.3999999999999996E-2</v>
      </c>
      <c r="P1057" s="16">
        <v>0.95019999999999993</v>
      </c>
      <c r="Q1057" s="16">
        <v>0.88019999999999998</v>
      </c>
      <c r="R1057" s="16"/>
      <c r="S1057" s="16">
        <f t="shared" si="34"/>
        <v>0.61013333333333331</v>
      </c>
      <c r="T1057" s="18">
        <v>1</v>
      </c>
      <c r="U1057" s="1">
        <v>9.4295143800000005</v>
      </c>
      <c r="V1057" s="1">
        <f t="shared" si="33"/>
        <v>2.344639708005436</v>
      </c>
      <c r="W1057" s="26"/>
      <c r="X1057">
        <v>0.46310000000000001</v>
      </c>
      <c r="Y1057" s="1">
        <v>0.80910000000000004</v>
      </c>
      <c r="Z1057" s="1">
        <v>0.59279999999999999</v>
      </c>
      <c r="AA1057" s="1">
        <v>192468</v>
      </c>
      <c r="AB1057" s="1">
        <v>2121</v>
      </c>
      <c r="AC1057" s="29">
        <v>38168</v>
      </c>
    </row>
    <row r="1058" spans="1:29">
      <c r="A1058" s="12">
        <v>85</v>
      </c>
      <c r="B1058" s="12" t="s">
        <v>379</v>
      </c>
      <c r="C1058" s="12">
        <v>85010</v>
      </c>
      <c r="D1058" s="12" t="s">
        <v>380</v>
      </c>
      <c r="E1058" s="17">
        <v>0.66646376891790937</v>
      </c>
      <c r="F1058" s="17">
        <v>0.33353623108209057</v>
      </c>
      <c r="G1058" s="13">
        <v>0.87798182966525773</v>
      </c>
      <c r="H1058" s="13">
        <v>1.998009289980093</v>
      </c>
      <c r="I1058" s="14">
        <v>10.495266238707785</v>
      </c>
      <c r="J1058" s="16">
        <v>0.89849999999999997</v>
      </c>
      <c r="K1058" s="16">
        <v>0.8982</v>
      </c>
      <c r="L1058" s="13">
        <v>0.53080000000000005</v>
      </c>
      <c r="M1058" s="13">
        <v>3.6200000000000003E-2</v>
      </c>
      <c r="N1058" s="13">
        <v>7.1599999999999997E-2</v>
      </c>
      <c r="O1058" s="13">
        <v>6.4199999999999993E-2</v>
      </c>
      <c r="P1058" s="16">
        <v>0.5232</v>
      </c>
      <c r="Q1058" s="16">
        <v>0.50649999999999995</v>
      </c>
      <c r="R1058" s="16">
        <v>0.51770000000000005</v>
      </c>
      <c r="S1058" s="16">
        <f t="shared" si="34"/>
        <v>0.51580000000000004</v>
      </c>
      <c r="T1058" s="18">
        <v>0.77290239726027399</v>
      </c>
      <c r="U1058" s="1">
        <v>8.7209302330000007</v>
      </c>
      <c r="V1058" s="1">
        <f t="shared" si="33"/>
        <v>2.2742813168766487</v>
      </c>
      <c r="W1058" s="26"/>
      <c r="X1058">
        <v>0.56779999999999997</v>
      </c>
      <c r="Y1058" s="1">
        <v>2.8814000000000002</v>
      </c>
      <c r="Z1058" s="1">
        <v>1.3562000000000001</v>
      </c>
      <c r="AA1058" s="1">
        <v>39218</v>
      </c>
      <c r="AB1058" s="1">
        <v>344</v>
      </c>
      <c r="AC1058" s="29">
        <v>8064</v>
      </c>
    </row>
    <row r="1059" spans="1:29">
      <c r="A1059" s="12">
        <v>85</v>
      </c>
      <c r="B1059" s="12" t="s">
        <v>379</v>
      </c>
      <c r="C1059" s="12">
        <v>85015</v>
      </c>
      <c r="D1059" s="12" t="s">
        <v>381</v>
      </c>
      <c r="E1059" s="17">
        <v>0.8351698806244261</v>
      </c>
      <c r="F1059" s="17">
        <v>0.16483011937557393</v>
      </c>
      <c r="G1059" s="13">
        <v>0.86052943500592649</v>
      </c>
      <c r="H1059" s="13">
        <v>5.052777777777778</v>
      </c>
      <c r="I1059" s="14">
        <v>7.6866213349446202</v>
      </c>
      <c r="J1059" s="16">
        <v>0.69289999999999996</v>
      </c>
      <c r="K1059" s="16">
        <v>0.69289999999999996</v>
      </c>
      <c r="L1059" s="13">
        <v>0.50600000000000001</v>
      </c>
      <c r="M1059" s="13">
        <v>3.1899999999999998E-2</v>
      </c>
      <c r="N1059" s="13">
        <v>2.6599999999999999E-2</v>
      </c>
      <c r="O1059" s="13">
        <v>3.9899999999999998E-2</v>
      </c>
      <c r="P1059" s="16">
        <v>0.42859999999999998</v>
      </c>
      <c r="Q1059" s="16">
        <v>0.42859999999999998</v>
      </c>
      <c r="R1059" s="16">
        <v>0.42859999999999998</v>
      </c>
      <c r="S1059" s="16">
        <f t="shared" si="34"/>
        <v>0.42860000000000004</v>
      </c>
      <c r="T1059" s="18">
        <v>0.38803088803088798</v>
      </c>
      <c r="U1059" s="1">
        <v>0</v>
      </c>
      <c r="V1059" s="1">
        <f t="shared" si="33"/>
        <v>0</v>
      </c>
      <c r="W1059" s="25"/>
      <c r="X1059">
        <v>5.4800000000000001E-2</v>
      </c>
      <c r="Y1059" s="1">
        <v>4.8800000000000003E-2</v>
      </c>
      <c r="Z1059" s="1">
        <v>4.7600000000000003E-2</v>
      </c>
      <c r="AA1059" s="1">
        <v>2691</v>
      </c>
      <c r="AB1059" s="1">
        <v>21</v>
      </c>
      <c r="AC1059" s="29">
        <v>569</v>
      </c>
    </row>
    <row r="1060" spans="1:29">
      <c r="A1060" s="12">
        <v>85</v>
      </c>
      <c r="B1060" s="12" t="s">
        <v>379</v>
      </c>
      <c r="C1060" s="12">
        <v>85125</v>
      </c>
      <c r="D1060" s="12" t="s">
        <v>382</v>
      </c>
      <c r="E1060" s="17">
        <v>0.88172220389310463</v>
      </c>
      <c r="F1060" s="17">
        <v>0.11827779610689541</v>
      </c>
      <c r="G1060" s="13">
        <v>0.87436896004615605</v>
      </c>
      <c r="H1060" s="13">
        <v>7.4494773519163759</v>
      </c>
      <c r="I1060" s="14">
        <v>9.4030247158056834</v>
      </c>
      <c r="J1060" s="16">
        <v>0.87460000000000004</v>
      </c>
      <c r="K1060" s="16">
        <v>0.87429999999999997</v>
      </c>
      <c r="L1060" s="13">
        <v>0.34739999999999999</v>
      </c>
      <c r="M1060" s="13">
        <v>4.4900000000000002E-2</v>
      </c>
      <c r="N1060" s="13">
        <v>0.14399999999999999</v>
      </c>
      <c r="O1060" s="13">
        <v>5.5399999999999998E-2</v>
      </c>
      <c r="P1060" s="16">
        <v>0</v>
      </c>
      <c r="Q1060" s="16">
        <v>0</v>
      </c>
      <c r="R1060" s="16">
        <v>0</v>
      </c>
      <c r="S1060" s="16">
        <f t="shared" si="34"/>
        <v>0</v>
      </c>
      <c r="T1060" s="18">
        <v>0.91263282172372995</v>
      </c>
      <c r="U1060" s="1">
        <v>33.89830508</v>
      </c>
      <c r="V1060" s="1">
        <f t="shared" si="33"/>
        <v>3.5524382629860818</v>
      </c>
      <c r="W1060" s="26"/>
      <c r="X1060">
        <v>3.9199999999999999E-2</v>
      </c>
      <c r="Y1060" s="1">
        <v>8.8000000000000005E-3</v>
      </c>
      <c r="Z1060" s="1">
        <v>8.6999999999999994E-3</v>
      </c>
      <c r="AA1060" s="1">
        <v>13104</v>
      </c>
      <c r="AB1060" s="1">
        <v>118</v>
      </c>
      <c r="AC1060" s="29">
        <v>3396</v>
      </c>
    </row>
    <row r="1061" spans="1:29">
      <c r="A1061" s="12">
        <v>85</v>
      </c>
      <c r="B1061" s="12" t="s">
        <v>379</v>
      </c>
      <c r="C1061" s="12">
        <v>85136</v>
      </c>
      <c r="D1061" s="12" t="s">
        <v>383</v>
      </c>
      <c r="E1061" s="17">
        <v>0.76649746192893398</v>
      </c>
      <c r="F1061" s="17">
        <v>0.233502538071066</v>
      </c>
      <c r="G1061" s="13">
        <v>0.68545581071677109</v>
      </c>
      <c r="H1061" s="13">
        <v>3.2683982683982684</v>
      </c>
      <c r="I1061" s="14">
        <v>6.8936563546026353</v>
      </c>
      <c r="J1061" s="16">
        <v>0.55610000000000004</v>
      </c>
      <c r="K1061" s="16">
        <v>0.55610000000000004</v>
      </c>
      <c r="L1061" s="13">
        <v>0.33779999999999999</v>
      </c>
      <c r="M1061" s="13">
        <v>3.1399999999999997E-2</v>
      </c>
      <c r="N1061" s="13">
        <v>3.5900000000000001E-2</v>
      </c>
      <c r="O1061" s="13">
        <v>7.17E-2</v>
      </c>
      <c r="P1061" s="16">
        <v>0.71739999999999993</v>
      </c>
      <c r="Q1061" s="16">
        <v>0.38719999999999999</v>
      </c>
      <c r="R1061" s="16">
        <v>0.38719999999999999</v>
      </c>
      <c r="S1061" s="16">
        <f t="shared" si="34"/>
        <v>0.49726666666666669</v>
      </c>
      <c r="T1061" s="18">
        <v>0.37037037037037002</v>
      </c>
      <c r="U1061" s="1">
        <v>0</v>
      </c>
      <c r="V1061" s="1">
        <f t="shared" si="33"/>
        <v>0</v>
      </c>
      <c r="W1061" s="25"/>
      <c r="X1061">
        <v>0.1042</v>
      </c>
      <c r="Y1061" s="1">
        <v>4.1799999999999997E-2</v>
      </c>
      <c r="Z1061" s="1">
        <v>4.1000000000000002E-2</v>
      </c>
      <c r="AA1061" s="1">
        <v>1518</v>
      </c>
      <c r="AB1061" s="1">
        <v>7</v>
      </c>
      <c r="AC1061" s="29">
        <v>384</v>
      </c>
    </row>
    <row r="1062" spans="1:29">
      <c r="A1062" s="12">
        <v>85</v>
      </c>
      <c r="B1062" s="12" t="s">
        <v>379</v>
      </c>
      <c r="C1062" s="12">
        <v>85139</v>
      </c>
      <c r="D1062" s="12" t="s">
        <v>384</v>
      </c>
      <c r="E1062" s="17">
        <v>0.65173283614827815</v>
      </c>
      <c r="F1062" s="17">
        <v>0.34826716385172185</v>
      </c>
      <c r="G1062" s="13">
        <v>0.996284965034965</v>
      </c>
      <c r="H1062" s="13">
        <v>1.8710642317380353</v>
      </c>
      <c r="I1062" s="14">
        <v>9.8112077764168326</v>
      </c>
      <c r="J1062" s="16">
        <v>0.89190000000000003</v>
      </c>
      <c r="K1062" s="16">
        <v>0.89190000000000003</v>
      </c>
      <c r="L1062" s="13">
        <v>0.34699999999999998</v>
      </c>
      <c r="M1062" s="13">
        <v>6.9000000000000006E-2</v>
      </c>
      <c r="N1062" s="13">
        <v>8.5099999999999995E-2</v>
      </c>
      <c r="O1062" s="13">
        <v>5.1700000000000003E-2</v>
      </c>
      <c r="P1062" s="16">
        <v>0.40409999999999996</v>
      </c>
      <c r="Q1062" s="16">
        <v>0.52060000000000006</v>
      </c>
      <c r="R1062" s="16">
        <v>0.5222</v>
      </c>
      <c r="S1062" s="16">
        <f t="shared" si="34"/>
        <v>0.48230000000000001</v>
      </c>
      <c r="T1062" s="18">
        <v>0.71309465424227492</v>
      </c>
      <c r="U1062" s="1">
        <v>11.83431953</v>
      </c>
      <c r="V1062" s="1">
        <f t="shared" si="33"/>
        <v>2.5521227961665947</v>
      </c>
      <c r="W1062" s="26"/>
      <c r="X1062">
        <v>0.29709999999999998</v>
      </c>
      <c r="Y1062" s="1">
        <v>4.2599999999999999E-2</v>
      </c>
      <c r="Z1062" s="1">
        <v>4.1700000000000001E-2</v>
      </c>
      <c r="AA1062" s="1">
        <v>19474</v>
      </c>
      <c r="AB1062" s="1">
        <v>169</v>
      </c>
      <c r="AC1062" s="29">
        <v>4132</v>
      </c>
    </row>
    <row r="1063" spans="1:29">
      <c r="A1063" s="12">
        <v>85</v>
      </c>
      <c r="B1063" s="12" t="s">
        <v>379</v>
      </c>
      <c r="C1063" s="12">
        <v>85162</v>
      </c>
      <c r="D1063" s="12" t="s">
        <v>385</v>
      </c>
      <c r="E1063" s="17">
        <v>0.74666749719696024</v>
      </c>
      <c r="F1063" s="17">
        <v>0.25333250280303976</v>
      </c>
      <c r="G1063" s="13">
        <v>0.82438122625038512</v>
      </c>
      <c r="H1063" s="13">
        <v>2.9466568338249752</v>
      </c>
      <c r="I1063" s="14">
        <v>9.6837756065236142</v>
      </c>
      <c r="J1063" s="16">
        <v>0.84140000000000004</v>
      </c>
      <c r="K1063" s="16">
        <v>0.84079999999999999</v>
      </c>
      <c r="L1063" s="13">
        <v>0.5212</v>
      </c>
      <c r="M1063" s="13">
        <v>3.0700000000000002E-2</v>
      </c>
      <c r="N1063" s="13">
        <v>6.4799999999999996E-2</v>
      </c>
      <c r="O1063" s="13">
        <v>0.11269999999999999</v>
      </c>
      <c r="P1063" s="16">
        <v>1</v>
      </c>
      <c r="Q1063" s="16">
        <v>0.98439999999999994</v>
      </c>
      <c r="R1063" s="16">
        <v>1</v>
      </c>
      <c r="S1063" s="16">
        <f t="shared" si="34"/>
        <v>0.99480000000000002</v>
      </c>
      <c r="T1063" s="18">
        <v>0.46563192904656298</v>
      </c>
      <c r="U1063" s="1">
        <v>0</v>
      </c>
      <c r="V1063" s="1">
        <f t="shared" si="33"/>
        <v>0</v>
      </c>
      <c r="W1063" s="25"/>
      <c r="X1063">
        <v>0.2346</v>
      </c>
      <c r="Y1063" s="1">
        <v>0.26090000000000002</v>
      </c>
      <c r="Z1063" s="1">
        <v>0.23180000000000001</v>
      </c>
      <c r="AA1063" s="1">
        <v>18836</v>
      </c>
      <c r="AB1063" s="1">
        <v>151</v>
      </c>
      <c r="AC1063" s="29">
        <v>3820</v>
      </c>
    </row>
    <row r="1064" spans="1:29">
      <c r="A1064" s="12">
        <v>85</v>
      </c>
      <c r="B1064" s="12" t="s">
        <v>379</v>
      </c>
      <c r="C1064" s="12">
        <v>85225</v>
      </c>
      <c r="D1064" s="12" t="s">
        <v>386</v>
      </c>
      <c r="E1064" s="17">
        <v>0.8750940556809631</v>
      </c>
      <c r="F1064" s="17">
        <v>0.12490594431903687</v>
      </c>
      <c r="G1064" s="13">
        <v>0.7984379693601682</v>
      </c>
      <c r="H1064" s="13">
        <v>6.9989969909729188</v>
      </c>
      <c r="I1064" s="14">
        <v>8.9840669276530445</v>
      </c>
      <c r="J1064" s="16">
        <v>0.76680000000000004</v>
      </c>
      <c r="K1064" s="16">
        <v>0.76680000000000004</v>
      </c>
      <c r="L1064" s="13">
        <v>0.4677</v>
      </c>
      <c r="M1064" s="13">
        <v>2.5899999999999999E-2</v>
      </c>
      <c r="N1064" s="13">
        <v>5.4399999999999997E-2</v>
      </c>
      <c r="O1064" s="13">
        <v>5.4399999999999997E-2</v>
      </c>
      <c r="P1064" s="16">
        <v>0.39100000000000001</v>
      </c>
      <c r="Q1064" s="16">
        <v>0.311</v>
      </c>
      <c r="R1064" s="16">
        <v>0.31920000000000004</v>
      </c>
      <c r="S1064" s="16">
        <f t="shared" si="34"/>
        <v>0.34039999999999998</v>
      </c>
      <c r="T1064" s="18">
        <v>0.73316498316498302</v>
      </c>
      <c r="U1064" s="1">
        <v>0</v>
      </c>
      <c r="V1064" s="1">
        <f t="shared" si="33"/>
        <v>0</v>
      </c>
      <c r="W1064" s="26"/>
      <c r="X1064">
        <v>0.11600000000000001</v>
      </c>
      <c r="Y1064" s="1">
        <v>3.0200000000000001E-2</v>
      </c>
      <c r="Z1064" s="1">
        <v>2.9700000000000001E-2</v>
      </c>
      <c r="AA1064" s="1">
        <v>9365</v>
      </c>
      <c r="AB1064" s="1">
        <v>51</v>
      </c>
      <c r="AC1064" s="29">
        <v>1956</v>
      </c>
    </row>
    <row r="1065" spans="1:29">
      <c r="A1065" s="12">
        <v>85</v>
      </c>
      <c r="B1065" s="12" t="s">
        <v>379</v>
      </c>
      <c r="C1065" s="12">
        <v>85230</v>
      </c>
      <c r="D1065" s="12" t="s">
        <v>387</v>
      </c>
      <c r="E1065" s="17">
        <v>0.8204915003695491</v>
      </c>
      <c r="F1065" s="17">
        <v>0.17950849963045085</v>
      </c>
      <c r="G1065" s="13">
        <v>0.7690230905861456</v>
      </c>
      <c r="H1065" s="13">
        <v>4.568415637860082</v>
      </c>
      <c r="I1065" s="14">
        <v>9.2896135528706907</v>
      </c>
      <c r="J1065" s="16">
        <v>0.70130000000000003</v>
      </c>
      <c r="K1065" s="16">
        <v>0.70130000000000003</v>
      </c>
      <c r="L1065" s="13">
        <v>0.35060000000000002</v>
      </c>
      <c r="M1065" s="13">
        <v>5.4800000000000001E-2</v>
      </c>
      <c r="N1065" s="13">
        <v>8.0600000000000005E-2</v>
      </c>
      <c r="O1065" s="13">
        <v>7.7499999999999999E-2</v>
      </c>
      <c r="P1065" s="16">
        <v>0.64980000000000004</v>
      </c>
      <c r="Q1065" s="16">
        <v>0.65010000000000001</v>
      </c>
      <c r="R1065" s="16">
        <v>0.65010000000000001</v>
      </c>
      <c r="S1065" s="16">
        <f t="shared" si="34"/>
        <v>0.65</v>
      </c>
      <c r="T1065" s="18">
        <v>0.46850185283218598</v>
      </c>
      <c r="U1065" s="1">
        <v>19.41747573</v>
      </c>
      <c r="V1065" s="1">
        <f t="shared" si="33"/>
        <v>3.0163911875634111</v>
      </c>
      <c r="W1065" s="25"/>
      <c r="X1065">
        <v>0.77429999999999999</v>
      </c>
      <c r="Y1065" s="1">
        <v>6.25E-2</v>
      </c>
      <c r="Z1065" s="1">
        <v>6.0600000000000001E-2</v>
      </c>
      <c r="AA1065" s="1">
        <v>14229</v>
      </c>
      <c r="AB1065" s="1">
        <v>103</v>
      </c>
      <c r="AC1065" s="29">
        <v>3635</v>
      </c>
    </row>
    <row r="1066" spans="1:29">
      <c r="A1066" s="12">
        <v>85</v>
      </c>
      <c r="B1066" s="12" t="s">
        <v>379</v>
      </c>
      <c r="C1066" s="12">
        <v>85250</v>
      </c>
      <c r="D1066" s="12" t="s">
        <v>388</v>
      </c>
      <c r="E1066" s="17">
        <v>0.83740703898441571</v>
      </c>
      <c r="F1066" s="17">
        <v>0.16259296101558429</v>
      </c>
      <c r="G1066" s="13">
        <v>1</v>
      </c>
      <c r="H1066" s="13">
        <v>5.1495776288960089</v>
      </c>
      <c r="I1066" s="14">
        <v>10.650720375249316</v>
      </c>
      <c r="J1066" s="16">
        <v>0.91220000000000001</v>
      </c>
      <c r="K1066" s="16">
        <v>0.91220000000000001</v>
      </c>
      <c r="L1066" s="13">
        <v>0.48280000000000001</v>
      </c>
      <c r="M1066" s="13">
        <v>3.2399999999999998E-2</v>
      </c>
      <c r="N1066" s="13">
        <v>6.0199999999999997E-2</v>
      </c>
      <c r="O1066" s="13">
        <v>6.7599999999999993E-2</v>
      </c>
      <c r="P1066" s="16">
        <v>0.55659999999999998</v>
      </c>
      <c r="Q1066" s="16">
        <v>0.55479999999999996</v>
      </c>
      <c r="R1066" s="16">
        <v>0.55230000000000001</v>
      </c>
      <c r="S1066" s="16">
        <f t="shared" si="34"/>
        <v>0.55456666666666665</v>
      </c>
      <c r="T1066" s="18">
        <v>0.68413948256467905</v>
      </c>
      <c r="U1066" s="1">
        <v>9.5011876480000002</v>
      </c>
      <c r="V1066" s="1">
        <f t="shared" si="33"/>
        <v>2.3514883601004328</v>
      </c>
      <c r="W1066" s="26"/>
      <c r="X1066">
        <v>0.1153</v>
      </c>
      <c r="Y1066" s="1">
        <v>2.4500000000000001E-2</v>
      </c>
      <c r="Z1066" s="1">
        <v>2.4199999999999999E-2</v>
      </c>
      <c r="AA1066" s="1">
        <v>38468</v>
      </c>
      <c r="AB1066" s="1">
        <v>421</v>
      </c>
      <c r="AC1066" s="29">
        <v>8790</v>
      </c>
    </row>
    <row r="1067" spans="1:29">
      <c r="A1067" s="12">
        <v>85</v>
      </c>
      <c r="B1067" s="12" t="s">
        <v>379</v>
      </c>
      <c r="C1067" s="12">
        <v>85263</v>
      </c>
      <c r="D1067" s="12" t="s">
        <v>389</v>
      </c>
      <c r="E1067" s="17">
        <v>0.83084495488105004</v>
      </c>
      <c r="F1067" s="17">
        <v>0.16915504511894996</v>
      </c>
      <c r="G1067" s="13">
        <v>0.9467961165048544</v>
      </c>
      <c r="H1067" s="13">
        <v>4.9093553078041685</v>
      </c>
      <c r="I1067" s="14">
        <v>9.4084532535651455</v>
      </c>
      <c r="J1067" s="16">
        <v>0.78920000000000001</v>
      </c>
      <c r="K1067" s="16">
        <v>0.78920000000000001</v>
      </c>
      <c r="L1067" s="13">
        <v>0.53280000000000005</v>
      </c>
      <c r="M1067" s="13">
        <v>4.6300000000000001E-2</v>
      </c>
      <c r="N1067" s="13">
        <v>6.8199999999999997E-2</v>
      </c>
      <c r="O1067" s="13">
        <v>7.8100000000000003E-2</v>
      </c>
      <c r="P1067" s="16">
        <v>0.40079999999999999</v>
      </c>
      <c r="Q1067" s="16">
        <v>0.40079999999999999</v>
      </c>
      <c r="R1067" s="16">
        <v>0.40079999999999999</v>
      </c>
      <c r="S1067" s="16">
        <f t="shared" si="34"/>
        <v>0.40079999999999999</v>
      </c>
      <c r="T1067" s="18">
        <v>0.68449486763911394</v>
      </c>
      <c r="U1067" s="1">
        <v>7.8740157479999997</v>
      </c>
      <c r="V1067" s="1">
        <f t="shared" si="33"/>
        <v>2.1831274275776358</v>
      </c>
      <c r="W1067" s="25"/>
      <c r="X1067">
        <v>0.4239</v>
      </c>
      <c r="Y1067" s="1">
        <v>0.1532</v>
      </c>
      <c r="Z1067" s="1">
        <v>0.14249999999999999</v>
      </c>
      <c r="AA1067" s="1">
        <v>13407</v>
      </c>
      <c r="AB1067" s="1">
        <v>127</v>
      </c>
      <c r="AC1067" s="29">
        <v>3141</v>
      </c>
    </row>
    <row r="1068" spans="1:29">
      <c r="A1068" s="12">
        <v>85</v>
      </c>
      <c r="B1068" s="12" t="s">
        <v>379</v>
      </c>
      <c r="C1068" s="12">
        <v>85279</v>
      </c>
      <c r="D1068" s="12" t="s">
        <v>390</v>
      </c>
      <c r="E1068" s="17">
        <v>0.82661290322580649</v>
      </c>
      <c r="F1068" s="17">
        <v>0.17338709677419356</v>
      </c>
      <c r="G1068" s="13">
        <v>0.77889447236180909</v>
      </c>
      <c r="H1068" s="13">
        <v>4.7453703703703702</v>
      </c>
      <c r="I1068" s="14">
        <v>7.1236727852046071</v>
      </c>
      <c r="J1068" s="16">
        <v>0.58460000000000001</v>
      </c>
      <c r="K1068" s="16">
        <v>0.58460000000000001</v>
      </c>
      <c r="L1068" s="13">
        <v>0.29549999999999998</v>
      </c>
      <c r="M1068" s="13">
        <v>0.05</v>
      </c>
      <c r="N1068" s="13">
        <v>5.6300000000000003E-2</v>
      </c>
      <c r="O1068" s="13">
        <v>5.6300000000000003E-2</v>
      </c>
      <c r="P1068" s="16">
        <v>0.17190000000000003</v>
      </c>
      <c r="Q1068" s="16">
        <v>0.14319999999999999</v>
      </c>
      <c r="R1068" s="16">
        <v>0.14560000000000001</v>
      </c>
      <c r="S1068" s="16">
        <f t="shared" si="34"/>
        <v>0.15356666666666668</v>
      </c>
      <c r="T1068" s="18">
        <v>0.39772727272727204</v>
      </c>
      <c r="U1068" s="1">
        <v>0</v>
      </c>
      <c r="V1068" s="1">
        <f t="shared" si="33"/>
        <v>0</v>
      </c>
      <c r="W1068" s="26"/>
      <c r="X1068">
        <v>0.14099999999999999</v>
      </c>
      <c r="Y1068" s="1">
        <v>1.3899999999999999E-2</v>
      </c>
      <c r="Z1068" s="1">
        <v>1.38E-2</v>
      </c>
      <c r="AA1068" s="1">
        <v>1728</v>
      </c>
      <c r="AB1068" s="1">
        <v>7</v>
      </c>
      <c r="AC1068" s="29">
        <v>297</v>
      </c>
    </row>
    <row r="1069" spans="1:29">
      <c r="A1069" s="12">
        <v>85</v>
      </c>
      <c r="B1069" s="12" t="s">
        <v>379</v>
      </c>
      <c r="C1069" s="12">
        <v>85300</v>
      </c>
      <c r="D1069" s="12" t="s">
        <v>98</v>
      </c>
      <c r="E1069" s="17">
        <v>0.79828937990021387</v>
      </c>
      <c r="F1069" s="17">
        <v>0.20171062009978616</v>
      </c>
      <c r="G1069" s="13">
        <v>0.68808239333006371</v>
      </c>
      <c r="H1069" s="13">
        <v>3.9506172839506171</v>
      </c>
      <c r="I1069" s="14">
        <v>7.9398715763618828</v>
      </c>
      <c r="J1069" s="16">
        <v>0.75</v>
      </c>
      <c r="K1069" s="16">
        <v>0.75</v>
      </c>
      <c r="L1069" s="13">
        <v>0.45739999999999997</v>
      </c>
      <c r="M1069" s="13">
        <v>4.24E-2</v>
      </c>
      <c r="N1069" s="13">
        <v>8.8099999999999998E-2</v>
      </c>
      <c r="O1069" s="13">
        <v>5.2499999999999998E-2</v>
      </c>
      <c r="P1069" s="16">
        <v>0.62020000000000008</v>
      </c>
      <c r="Q1069" s="16">
        <v>0.62109999999999999</v>
      </c>
      <c r="R1069" s="16">
        <v>0.62109999999999999</v>
      </c>
      <c r="S1069" s="16">
        <f t="shared" si="34"/>
        <v>0.62080000000000002</v>
      </c>
      <c r="T1069" s="18">
        <v>0.46532846715328396</v>
      </c>
      <c r="U1069" s="1">
        <v>0</v>
      </c>
      <c r="V1069" s="1">
        <f t="shared" si="33"/>
        <v>0</v>
      </c>
      <c r="W1069" s="25"/>
      <c r="X1069">
        <v>0.21429999999999999</v>
      </c>
      <c r="Y1069" s="1">
        <v>6.4899999999999999E-2</v>
      </c>
      <c r="Z1069" s="1">
        <v>6.2899999999999998E-2</v>
      </c>
      <c r="AA1069" s="1">
        <v>3836</v>
      </c>
      <c r="AB1069" s="1">
        <v>27</v>
      </c>
      <c r="AC1069" s="29">
        <v>728</v>
      </c>
    </row>
    <row r="1070" spans="1:29">
      <c r="A1070" s="12">
        <v>85</v>
      </c>
      <c r="B1070" s="12" t="s">
        <v>379</v>
      </c>
      <c r="C1070" s="12">
        <v>85315</v>
      </c>
      <c r="D1070" s="12" t="s">
        <v>391</v>
      </c>
      <c r="E1070" s="17">
        <v>0.81062747314867156</v>
      </c>
      <c r="F1070" s="17">
        <v>0.18937252685132844</v>
      </c>
      <c r="G1070" s="13">
        <v>0.74735952682720741</v>
      </c>
      <c r="H1070" s="13">
        <v>4.2678571428571432</v>
      </c>
      <c r="I1070" s="14">
        <v>7.4787348255678747</v>
      </c>
      <c r="J1070" s="16">
        <v>0.54769999999999996</v>
      </c>
      <c r="K1070" s="16">
        <v>0.54769999999999996</v>
      </c>
      <c r="L1070" s="13">
        <v>0.27589999999999998</v>
      </c>
      <c r="M1070" s="13">
        <v>6.25E-2</v>
      </c>
      <c r="N1070" s="13">
        <v>5.8999999999999997E-2</v>
      </c>
      <c r="O1070" s="13">
        <v>0</v>
      </c>
      <c r="P1070" s="16">
        <v>0.72730000000000006</v>
      </c>
      <c r="Q1070" s="16">
        <v>0.72730000000000006</v>
      </c>
      <c r="R1070" s="16">
        <v>0.72730000000000006</v>
      </c>
      <c r="S1070" s="16">
        <f t="shared" si="34"/>
        <v>0.72730000000000006</v>
      </c>
      <c r="T1070" s="18">
        <v>0.497142857142857</v>
      </c>
      <c r="U1070" s="1">
        <v>41.666666669999998</v>
      </c>
      <c r="V1070" s="1">
        <f t="shared" si="33"/>
        <v>3.7534179753296324</v>
      </c>
      <c r="W1070" s="26"/>
      <c r="X1070">
        <v>6.7299999999999999E-2</v>
      </c>
      <c r="Y1070" s="1">
        <v>3.0099999999999998E-2</v>
      </c>
      <c r="Z1070" s="1">
        <v>2.9700000000000001E-2</v>
      </c>
      <c r="AA1070" s="1">
        <v>2125</v>
      </c>
      <c r="AB1070" s="1">
        <v>24</v>
      </c>
      <c r="AC1070" s="29">
        <v>463</v>
      </c>
    </row>
    <row r="1071" spans="1:29" ht="25.5">
      <c r="A1071" s="12">
        <v>85</v>
      </c>
      <c r="B1071" s="12" t="s">
        <v>379</v>
      </c>
      <c r="C1071" s="12">
        <v>85325</v>
      </c>
      <c r="D1071" s="12" t="s">
        <v>392</v>
      </c>
      <c r="E1071" s="17">
        <v>0.83151848749551271</v>
      </c>
      <c r="F1071" s="17">
        <v>0.16848151250448726</v>
      </c>
      <c r="G1071" s="13">
        <v>0.92536817628169643</v>
      </c>
      <c r="H1071" s="13">
        <v>4.9318665720369053</v>
      </c>
      <c r="I1071" s="14">
        <v>9.0309744430078602</v>
      </c>
      <c r="J1071" s="16">
        <v>0.79700000000000004</v>
      </c>
      <c r="K1071" s="16">
        <v>0.79700000000000004</v>
      </c>
      <c r="L1071" s="13">
        <v>0.35170000000000001</v>
      </c>
      <c r="M1071" s="13">
        <v>4.8399999999999999E-2</v>
      </c>
      <c r="N1071" s="13">
        <v>0.1323</v>
      </c>
      <c r="O1071" s="13">
        <v>0.10009999999999999</v>
      </c>
      <c r="P1071" s="16">
        <v>0.4138</v>
      </c>
      <c r="Q1071" s="16">
        <v>0.37759999999999999</v>
      </c>
      <c r="R1071" s="16">
        <v>0.38740000000000002</v>
      </c>
      <c r="S1071" s="16">
        <f t="shared" si="34"/>
        <v>0.39293333333333336</v>
      </c>
      <c r="T1071" s="18">
        <v>0.63696202531645496</v>
      </c>
      <c r="U1071" s="1">
        <v>0</v>
      </c>
      <c r="V1071" s="1">
        <f t="shared" si="33"/>
        <v>0</v>
      </c>
      <c r="W1071" s="25"/>
      <c r="X1071">
        <v>0.18729999999999999</v>
      </c>
      <c r="Y1071" s="1">
        <v>4.8899999999999999E-2</v>
      </c>
      <c r="Z1071" s="1">
        <v>4.7800000000000002E-2</v>
      </c>
      <c r="AA1071" s="1">
        <v>8976</v>
      </c>
      <c r="AB1071" s="1">
        <v>54</v>
      </c>
      <c r="AC1071" s="29">
        <v>1981</v>
      </c>
    </row>
    <row r="1072" spans="1:29">
      <c r="A1072" s="12">
        <v>85</v>
      </c>
      <c r="B1072" s="12" t="s">
        <v>379</v>
      </c>
      <c r="C1072" s="12">
        <v>85400</v>
      </c>
      <c r="D1072" s="12" t="s">
        <v>393</v>
      </c>
      <c r="E1072" s="17">
        <v>0.90295053514608037</v>
      </c>
      <c r="F1072" s="17">
        <v>9.704946485391959E-2</v>
      </c>
      <c r="G1072" s="13">
        <v>0.97710570944036179</v>
      </c>
      <c r="H1072" s="13">
        <v>9.2901785714285712</v>
      </c>
      <c r="I1072" s="14">
        <v>8.8414482440988582</v>
      </c>
      <c r="J1072" s="16">
        <v>0.8236</v>
      </c>
      <c r="K1072" s="16">
        <v>0.8236</v>
      </c>
      <c r="L1072" s="13">
        <v>0.36230000000000001</v>
      </c>
      <c r="M1072" s="13">
        <v>5.4600000000000003E-2</v>
      </c>
      <c r="N1072" s="13">
        <v>9.0800000000000006E-2</v>
      </c>
      <c r="O1072" s="13">
        <v>3.2599999999999997E-2</v>
      </c>
      <c r="P1072" s="16">
        <v>0.1084</v>
      </c>
      <c r="Q1072" s="16">
        <v>0.10769999999999999</v>
      </c>
      <c r="R1072" s="16">
        <v>0.1082</v>
      </c>
      <c r="S1072" s="16">
        <f t="shared" si="34"/>
        <v>0.10809999999999999</v>
      </c>
      <c r="T1072" s="18">
        <v>0.32575757575757502</v>
      </c>
      <c r="U1072" s="1">
        <v>0</v>
      </c>
      <c r="V1072" s="1">
        <f t="shared" si="33"/>
        <v>0</v>
      </c>
      <c r="W1072" s="26"/>
      <c r="X1072">
        <v>3.7699999999999997E-2</v>
      </c>
      <c r="Y1072" s="1">
        <v>1.11E-2</v>
      </c>
      <c r="Z1072" s="1">
        <v>1.11E-2</v>
      </c>
      <c r="AA1072" s="1">
        <v>7293</v>
      </c>
      <c r="AB1072" s="1">
        <v>52</v>
      </c>
      <c r="AC1072" s="29">
        <v>1802</v>
      </c>
    </row>
    <row r="1073" spans="1:29">
      <c r="A1073" s="12">
        <v>85</v>
      </c>
      <c r="B1073" s="12" t="s">
        <v>379</v>
      </c>
      <c r="C1073" s="12">
        <v>85410</v>
      </c>
      <c r="D1073" s="12" t="s">
        <v>394</v>
      </c>
      <c r="E1073" s="17">
        <v>0.63834921673688083</v>
      </c>
      <c r="F1073" s="17">
        <v>0.36165078326311917</v>
      </c>
      <c r="G1073" s="13">
        <v>0.91258258370348255</v>
      </c>
      <c r="H1073" s="13">
        <v>1.7648987900033926</v>
      </c>
      <c r="I1073" s="14">
        <v>10.104385494903019</v>
      </c>
      <c r="J1073" s="16">
        <v>0.92630000000000001</v>
      </c>
      <c r="K1073" s="16">
        <v>0.92610000000000003</v>
      </c>
      <c r="L1073" s="13">
        <v>0.53310000000000002</v>
      </c>
      <c r="M1073" s="13">
        <v>3.1899999999999998E-2</v>
      </c>
      <c r="N1073" s="13">
        <v>0.08</v>
      </c>
      <c r="O1073" s="13">
        <v>6.6100000000000006E-2</v>
      </c>
      <c r="P1073" s="16">
        <v>0.62740000000000007</v>
      </c>
      <c r="Q1073" s="16">
        <v>0.60840000000000005</v>
      </c>
      <c r="R1073" s="16">
        <v>0.60049999999999992</v>
      </c>
      <c r="S1073" s="16">
        <f t="shared" si="34"/>
        <v>0.61209999999999998</v>
      </c>
      <c r="T1073" s="18">
        <v>0.8251748251748251</v>
      </c>
      <c r="U1073" s="1">
        <v>11.583011580000001</v>
      </c>
      <c r="V1073" s="1">
        <f t="shared" si="33"/>
        <v>2.5323476168986865</v>
      </c>
      <c r="W1073" s="25"/>
      <c r="X1073">
        <v>0.65859999999999996</v>
      </c>
      <c r="Y1073" s="1">
        <v>0.35580000000000001</v>
      </c>
      <c r="Z1073" s="1">
        <v>0.3044</v>
      </c>
      <c r="AA1073" s="1">
        <v>25904</v>
      </c>
      <c r="AB1073" s="1">
        <v>259</v>
      </c>
      <c r="AC1073" s="29">
        <v>5766</v>
      </c>
    </row>
    <row r="1074" spans="1:29">
      <c r="A1074" s="12">
        <v>85</v>
      </c>
      <c r="B1074" s="12" t="s">
        <v>379</v>
      </c>
      <c r="C1074" s="12">
        <v>85430</v>
      </c>
      <c r="D1074" s="12" t="s">
        <v>395</v>
      </c>
      <c r="E1074" s="17">
        <v>0.83022416127576348</v>
      </c>
      <c r="F1074" s="17">
        <v>0.16977583872423649</v>
      </c>
      <c r="G1074" s="13">
        <v>0.87477791669408433</v>
      </c>
      <c r="H1074" s="13">
        <v>4.8879539415411868</v>
      </c>
      <c r="I1074" s="14">
        <v>9.4951433036771196</v>
      </c>
      <c r="J1074" s="16">
        <v>0.88419999999999999</v>
      </c>
      <c r="K1074" s="16">
        <v>0.88419999999999999</v>
      </c>
      <c r="L1074" s="13">
        <v>0.47299999999999998</v>
      </c>
      <c r="M1074" s="13">
        <v>4.7300000000000002E-2</v>
      </c>
      <c r="N1074" s="13">
        <v>8.4099999999999994E-2</v>
      </c>
      <c r="O1074" s="13">
        <v>5.45E-2</v>
      </c>
      <c r="P1074" s="16">
        <v>0.54259999999999997</v>
      </c>
      <c r="Q1074" s="16">
        <v>0.50280000000000002</v>
      </c>
      <c r="R1074" s="16">
        <v>0.21820000000000001</v>
      </c>
      <c r="S1074" s="16">
        <f t="shared" si="34"/>
        <v>0.42119999999999996</v>
      </c>
      <c r="T1074" s="18">
        <v>0.551839464882943</v>
      </c>
      <c r="U1074" s="1">
        <v>0</v>
      </c>
      <c r="V1074" s="1">
        <f t="shared" si="33"/>
        <v>0</v>
      </c>
      <c r="W1074" s="26"/>
      <c r="X1074">
        <v>0.14130000000000001</v>
      </c>
      <c r="Y1074" s="1">
        <v>3.9300000000000002E-2</v>
      </c>
      <c r="Z1074" s="1">
        <v>3.85E-2</v>
      </c>
      <c r="AA1074" s="1">
        <v>14036</v>
      </c>
      <c r="AB1074" s="1">
        <v>141</v>
      </c>
      <c r="AC1074" s="29">
        <v>3232</v>
      </c>
    </row>
    <row r="1075" spans="1:29">
      <c r="A1075" s="12">
        <v>85</v>
      </c>
      <c r="B1075" s="12" t="s">
        <v>379</v>
      </c>
      <c r="C1075" s="12">
        <v>85440</v>
      </c>
      <c r="D1075" s="12" t="s">
        <v>214</v>
      </c>
      <c r="E1075" s="17">
        <v>0.55798144196893762</v>
      </c>
      <c r="F1075" s="17">
        <v>0.44201855803106238</v>
      </c>
      <c r="G1075" s="13">
        <v>1.0019638551221817</v>
      </c>
      <c r="H1075" s="13">
        <v>1.262277600044901</v>
      </c>
      <c r="I1075" s="14">
        <v>10.604280430121621</v>
      </c>
      <c r="J1075" s="16">
        <v>0.95820000000000005</v>
      </c>
      <c r="K1075" s="16">
        <v>0.95809999999999995</v>
      </c>
      <c r="L1075" s="13">
        <v>0.56940000000000002</v>
      </c>
      <c r="M1075" s="13">
        <v>3.7900000000000003E-2</v>
      </c>
      <c r="N1075" s="13">
        <v>7.0599999999999996E-2</v>
      </c>
      <c r="O1075" s="13">
        <v>4.6800000000000001E-2</v>
      </c>
      <c r="P1075" s="16">
        <v>0.84909999999999997</v>
      </c>
      <c r="Q1075" s="16">
        <v>0.59289999999999998</v>
      </c>
      <c r="R1075" s="16">
        <v>0.59640000000000004</v>
      </c>
      <c r="S1075" s="16">
        <f t="shared" si="34"/>
        <v>0.67946666666666677</v>
      </c>
      <c r="T1075" s="18">
        <v>1</v>
      </c>
      <c r="U1075" s="1">
        <v>4.4943820219999999</v>
      </c>
      <c r="V1075" s="1">
        <f t="shared" si="33"/>
        <v>1.7037261196568425</v>
      </c>
      <c r="W1075" s="25"/>
      <c r="X1075">
        <v>0.51419999999999999</v>
      </c>
      <c r="Y1075" s="1">
        <v>0.84219999999999995</v>
      </c>
      <c r="Z1075" s="1">
        <v>0.61099999999999999</v>
      </c>
      <c r="AA1075" s="1">
        <v>40889</v>
      </c>
      <c r="AB1075" s="1">
        <v>445</v>
      </c>
      <c r="AC1075" s="29">
        <v>8590</v>
      </c>
    </row>
    <row r="1076" spans="1:29">
      <c r="A1076" s="12">
        <v>86</v>
      </c>
      <c r="B1076" s="12" t="s">
        <v>839</v>
      </c>
      <c r="C1076" s="12">
        <v>86001</v>
      </c>
      <c r="D1076" s="12" t="s">
        <v>840</v>
      </c>
      <c r="E1076" s="17">
        <v>0.7410970382545361</v>
      </c>
      <c r="F1076" s="17">
        <v>0.25888684778755355</v>
      </c>
      <c r="G1076" s="13">
        <v>0.95758174271297858</v>
      </c>
      <c r="H1076" s="13">
        <v>2.8624509864940562</v>
      </c>
      <c r="I1076" s="14">
        <v>11.03584082443394</v>
      </c>
      <c r="J1076" s="16">
        <v>0.84819999999999995</v>
      </c>
      <c r="K1076" s="16">
        <v>0.84760000000000002</v>
      </c>
      <c r="L1076" s="13">
        <v>0.4481</v>
      </c>
      <c r="M1076" s="13">
        <v>5.2999999999999999E-2</v>
      </c>
      <c r="N1076" s="13">
        <v>8.5800000000000001E-2</v>
      </c>
      <c r="O1076" s="13">
        <v>7.5700000000000003E-2</v>
      </c>
      <c r="P1076" s="16">
        <v>0.53280000000000005</v>
      </c>
      <c r="Q1076" s="16">
        <v>0.47130000000000005</v>
      </c>
      <c r="R1076" s="16"/>
      <c r="S1076" s="16">
        <f t="shared" si="34"/>
        <v>0.33470000000000005</v>
      </c>
      <c r="T1076" s="18">
        <v>1</v>
      </c>
      <c r="U1076" s="1">
        <v>7.01754386</v>
      </c>
      <c r="V1076" s="1">
        <f t="shared" si="33"/>
        <v>2.0816321231034181</v>
      </c>
      <c r="W1076" s="25"/>
      <c r="X1076">
        <v>0.14299999999999999</v>
      </c>
      <c r="Y1076" s="1">
        <v>0.14879999999999999</v>
      </c>
      <c r="Z1076" s="1">
        <v>0.13869999999999999</v>
      </c>
      <c r="AA1076" s="1">
        <v>65766</v>
      </c>
      <c r="AB1076" s="1">
        <v>570</v>
      </c>
      <c r="AC1076" s="29">
        <v>13024</v>
      </c>
    </row>
    <row r="1077" spans="1:29">
      <c r="A1077" s="12">
        <v>86</v>
      </c>
      <c r="B1077" s="12" t="s">
        <v>839</v>
      </c>
      <c r="C1077" s="12">
        <v>86219</v>
      </c>
      <c r="D1077" s="12" t="s">
        <v>753</v>
      </c>
      <c r="E1077" s="17">
        <v>0.86871460442766435</v>
      </c>
      <c r="F1077" s="17">
        <v>0.13128539557233568</v>
      </c>
      <c r="G1077" s="13">
        <v>0.98880027150856953</v>
      </c>
      <c r="H1077" s="13">
        <v>6.6083550913838121</v>
      </c>
      <c r="I1077" s="14">
        <v>8.6704291673150955</v>
      </c>
      <c r="J1077" s="16">
        <v>0.73609999999999998</v>
      </c>
      <c r="K1077" s="16">
        <v>0.73609999999999998</v>
      </c>
      <c r="L1077" s="13">
        <v>0.42070000000000002</v>
      </c>
      <c r="M1077" s="13">
        <v>3.56E-2</v>
      </c>
      <c r="N1077" s="13">
        <v>4.9500000000000002E-2</v>
      </c>
      <c r="O1077" s="13">
        <v>5.5899999999999998E-2</v>
      </c>
      <c r="P1077" s="16">
        <v>1</v>
      </c>
      <c r="Q1077" s="16">
        <v>0.8226</v>
      </c>
      <c r="R1077" s="16">
        <v>0.7873</v>
      </c>
      <c r="S1077" s="16">
        <f t="shared" si="34"/>
        <v>0.86996666666666667</v>
      </c>
      <c r="T1077" s="18">
        <v>0.81208053691275095</v>
      </c>
      <c r="U1077" s="1">
        <v>23.809523810000002</v>
      </c>
      <c r="V1077" s="1">
        <f t="shared" si="33"/>
        <v>3.2112276040491379</v>
      </c>
      <c r="W1077" s="26"/>
      <c r="X1077">
        <v>3.7600000000000001E-2</v>
      </c>
      <c r="Y1077" s="1">
        <v>0.44940000000000002</v>
      </c>
      <c r="Z1077" s="1">
        <v>0.37109999999999999</v>
      </c>
      <c r="AA1077" s="1">
        <v>5762</v>
      </c>
      <c r="AB1077" s="1">
        <v>42</v>
      </c>
      <c r="AC1077" s="29">
        <v>1089</v>
      </c>
    </row>
    <row r="1078" spans="1:29">
      <c r="A1078" s="12">
        <v>86</v>
      </c>
      <c r="B1078" s="12" t="s">
        <v>839</v>
      </c>
      <c r="C1078" s="12">
        <v>86320</v>
      </c>
      <c r="D1078" s="12" t="s">
        <v>841</v>
      </c>
      <c r="E1078" s="17">
        <v>0.87803605851003519</v>
      </c>
      <c r="F1078" s="17">
        <v>0.12194126318176664</v>
      </c>
      <c r="G1078" s="13">
        <v>1</v>
      </c>
      <c r="H1078" s="13">
        <v>7.1991446634436596</v>
      </c>
      <c r="I1078" s="14">
        <v>10.694124354373331</v>
      </c>
      <c r="J1078" s="16">
        <v>0.91110000000000002</v>
      </c>
      <c r="K1078" s="16">
        <v>0.91049999999999998</v>
      </c>
      <c r="L1078" s="13">
        <v>0.42870000000000003</v>
      </c>
      <c r="M1078" s="13">
        <v>6.6400000000000001E-2</v>
      </c>
      <c r="N1078" s="13">
        <v>8.3699999999999997E-2</v>
      </c>
      <c r="O1078" s="13">
        <v>5.0500000000000003E-2</v>
      </c>
      <c r="P1078" s="16">
        <v>0.45729999999999998</v>
      </c>
      <c r="Q1078" s="16">
        <v>0.4572</v>
      </c>
      <c r="R1078" s="16">
        <v>0.4572</v>
      </c>
      <c r="S1078" s="16">
        <f t="shared" si="34"/>
        <v>0.45723333333333332</v>
      </c>
      <c r="T1078" s="18">
        <v>0.81167137578787207</v>
      </c>
      <c r="U1078" s="1">
        <v>12.690355329999999</v>
      </c>
      <c r="V1078" s="1">
        <f t="shared" si="33"/>
        <v>2.6166915944054492</v>
      </c>
      <c r="W1078" s="26"/>
      <c r="X1078">
        <v>9.2399999999999996E-2</v>
      </c>
      <c r="Y1078" s="1">
        <v>0.1137</v>
      </c>
      <c r="Z1078" s="1">
        <v>0.1077</v>
      </c>
      <c r="AA1078" s="1">
        <v>38938</v>
      </c>
      <c r="AB1078" s="1">
        <v>394</v>
      </c>
      <c r="AC1078" s="29">
        <v>8554</v>
      </c>
    </row>
    <row r="1079" spans="1:29">
      <c r="A1079" s="12">
        <v>86</v>
      </c>
      <c r="B1079" s="12" t="s">
        <v>839</v>
      </c>
      <c r="C1079" s="12">
        <v>86568</v>
      </c>
      <c r="D1079" s="12" t="s">
        <v>843</v>
      </c>
      <c r="E1079" s="17">
        <v>0.83708220296573344</v>
      </c>
      <c r="F1079" s="17">
        <v>0.16291779703426659</v>
      </c>
      <c r="G1079" s="13">
        <v>1</v>
      </c>
      <c r="H1079" s="13">
        <v>5.1376495311994823</v>
      </c>
      <c r="I1079" s="14">
        <v>11.23763299016437</v>
      </c>
      <c r="J1079" s="16">
        <v>0.88500000000000001</v>
      </c>
      <c r="K1079" s="16">
        <v>0.88480000000000003</v>
      </c>
      <c r="L1079" s="13">
        <v>0.40089999999999998</v>
      </c>
      <c r="M1079" s="13">
        <v>6.08E-2</v>
      </c>
      <c r="N1079" s="13">
        <v>0.10009999999999999</v>
      </c>
      <c r="O1079" s="13">
        <v>9.1899999999999996E-2</v>
      </c>
      <c r="P1079" s="16">
        <v>1</v>
      </c>
      <c r="Q1079" s="16">
        <v>1</v>
      </c>
      <c r="R1079" s="16">
        <v>1</v>
      </c>
      <c r="S1079" s="16">
        <f t="shared" si="34"/>
        <v>1</v>
      </c>
      <c r="T1079" s="18">
        <v>0.46013058963197401</v>
      </c>
      <c r="U1079" s="1">
        <v>8.760951189</v>
      </c>
      <c r="V1079" s="1">
        <f t="shared" si="33"/>
        <v>2.2783898535656339</v>
      </c>
      <c r="W1079" s="26"/>
      <c r="X1079">
        <v>0.14649999999999999</v>
      </c>
      <c r="Y1079" s="1">
        <v>0.11600000000000001</v>
      </c>
      <c r="Z1079" s="1">
        <v>0.10979999999999999</v>
      </c>
      <c r="AA1079" s="1">
        <v>71540</v>
      </c>
      <c r="AB1079" s="1">
        <v>799</v>
      </c>
      <c r="AC1079" s="29">
        <v>14825</v>
      </c>
    </row>
    <row r="1080" spans="1:29">
      <c r="A1080" s="12">
        <v>86</v>
      </c>
      <c r="B1080" s="12" t="s">
        <v>839</v>
      </c>
      <c r="C1080" s="12">
        <v>86569</v>
      </c>
      <c r="D1080" s="12" t="s">
        <v>844</v>
      </c>
      <c r="E1080" s="17">
        <v>0.92737430167597767</v>
      </c>
      <c r="F1080" s="17">
        <v>7.2625698324022353E-2</v>
      </c>
      <c r="G1080" s="13">
        <v>0.85073050519274773</v>
      </c>
      <c r="H1080" s="13">
        <v>12.757115749525617</v>
      </c>
      <c r="I1080" s="14">
        <v>9.581903928408666</v>
      </c>
      <c r="J1080" s="16">
        <v>0.6724</v>
      </c>
      <c r="K1080" s="16">
        <v>0.6724</v>
      </c>
      <c r="L1080" s="13">
        <v>0.27989999999999998</v>
      </c>
      <c r="M1080" s="13">
        <v>4.7899999999999998E-2</v>
      </c>
      <c r="N1080" s="13">
        <v>6.8099999999999994E-2</v>
      </c>
      <c r="O1080" s="13">
        <v>3.8800000000000001E-2</v>
      </c>
      <c r="P1080" s="16">
        <v>0.42380000000000001</v>
      </c>
      <c r="Q1080" s="16">
        <v>0.42380000000000001</v>
      </c>
      <c r="R1080" s="16">
        <v>0.42380000000000001</v>
      </c>
      <c r="S1080" s="16">
        <f t="shared" si="34"/>
        <v>0.42380000000000001</v>
      </c>
      <c r="T1080" s="18">
        <v>0.55241492864983499</v>
      </c>
      <c r="U1080" s="1">
        <v>8.6956521739999992</v>
      </c>
      <c r="V1080" s="1">
        <f t="shared" si="33"/>
        <v>2.2716775555399376</v>
      </c>
      <c r="W1080" s="25"/>
      <c r="X1080">
        <v>3.6600000000000001E-2</v>
      </c>
      <c r="Y1080" s="1">
        <v>2.5499999999999998E-2</v>
      </c>
      <c r="Z1080" s="1">
        <v>2.52E-2</v>
      </c>
      <c r="AA1080" s="1">
        <v>17329</v>
      </c>
      <c r="AB1080" s="1">
        <v>115</v>
      </c>
      <c r="AC1080" s="29">
        <v>3458</v>
      </c>
    </row>
    <row r="1081" spans="1:29">
      <c r="A1081" s="12">
        <v>86</v>
      </c>
      <c r="B1081" s="12" t="s">
        <v>839</v>
      </c>
      <c r="C1081" s="12">
        <v>86571</v>
      </c>
      <c r="D1081" s="12" t="s">
        <v>845</v>
      </c>
      <c r="E1081" s="17">
        <v>0.95357220887043914</v>
      </c>
      <c r="F1081" s="17">
        <v>4.6427791129560851E-2</v>
      </c>
      <c r="G1081" s="13">
        <v>0.4744726066448971</v>
      </c>
      <c r="H1081" s="13">
        <v>20.514688601645123</v>
      </c>
      <c r="I1081" s="14">
        <v>9.8151480212126039</v>
      </c>
      <c r="J1081" s="16">
        <v>0.47560000000000002</v>
      </c>
      <c r="K1081" s="16">
        <v>0.47560000000000002</v>
      </c>
      <c r="L1081" s="13">
        <v>0.15359999999999999</v>
      </c>
      <c r="M1081" s="13">
        <v>0.115</v>
      </c>
      <c r="N1081" s="13">
        <v>0.11269999999999999</v>
      </c>
      <c r="O1081" s="13">
        <v>5.67E-2</v>
      </c>
      <c r="P1081" s="16">
        <v>0.22359999999999999</v>
      </c>
      <c r="Q1081" s="16">
        <v>0.22359999999999999</v>
      </c>
      <c r="R1081" s="16">
        <v>0.22359999999999999</v>
      </c>
      <c r="S1081" s="16">
        <f t="shared" si="34"/>
        <v>0.22359999999999999</v>
      </c>
      <c r="T1081" s="18">
        <v>0.44309637730690299</v>
      </c>
      <c r="U1081" s="1">
        <v>15.07537688</v>
      </c>
      <c r="V1081" s="1">
        <f t="shared" si="33"/>
        <v>2.7772887149499397</v>
      </c>
      <c r="W1081" s="26"/>
      <c r="X1081">
        <v>1.37E-2</v>
      </c>
      <c r="Y1081" s="1">
        <v>5.1000000000000004E-3</v>
      </c>
      <c r="Z1081" s="1">
        <v>5.1000000000000004E-3</v>
      </c>
      <c r="AA1081" s="1">
        <v>41134</v>
      </c>
      <c r="AB1081" s="1">
        <v>199</v>
      </c>
      <c r="AC1081" s="29">
        <v>11283</v>
      </c>
    </row>
    <row r="1082" spans="1:29">
      <c r="A1082" s="12">
        <v>86</v>
      </c>
      <c r="B1082" s="12" t="s">
        <v>839</v>
      </c>
      <c r="C1082" s="12">
        <v>86573</v>
      </c>
      <c r="D1082" s="12" t="s">
        <v>842</v>
      </c>
      <c r="E1082" s="17">
        <v>0.93583266861650272</v>
      </c>
      <c r="F1082" s="17">
        <v>6.4167331383497297E-2</v>
      </c>
      <c r="G1082" s="13">
        <v>0.68971208509077575</v>
      </c>
      <c r="H1082" s="13">
        <v>14.574189095928226</v>
      </c>
      <c r="I1082" s="14">
        <v>10.02424394117191</v>
      </c>
      <c r="J1082" s="16">
        <v>0.57379999999999998</v>
      </c>
      <c r="K1082" s="16">
        <v>0.57379999999999998</v>
      </c>
      <c r="L1082" s="13">
        <v>0.22459999999999999</v>
      </c>
      <c r="M1082" s="13">
        <v>8.8099999999999998E-2</v>
      </c>
      <c r="N1082" s="13">
        <v>8.2400000000000001E-2</v>
      </c>
      <c r="O1082" s="13">
        <v>3.1800000000000002E-2</v>
      </c>
      <c r="P1082" s="16">
        <v>0.318</v>
      </c>
      <c r="Q1082" s="16">
        <v>0.21379999999999999</v>
      </c>
      <c r="R1082" s="16">
        <v>0.34020000000000006</v>
      </c>
      <c r="S1082" s="16">
        <f t="shared" si="34"/>
        <v>0.29066666666666668</v>
      </c>
      <c r="T1082" s="18">
        <v>0.61858664085188697</v>
      </c>
      <c r="U1082" s="1">
        <v>19.3236715</v>
      </c>
      <c r="V1082" s="1">
        <f t="shared" si="33"/>
        <v>3.0117862904440011</v>
      </c>
      <c r="W1082" s="25"/>
      <c r="X1082">
        <v>2.6800000000000001E-2</v>
      </c>
      <c r="Y1082" s="1">
        <v>4.7999999999999996E-3</v>
      </c>
      <c r="Z1082" s="1">
        <v>4.7999999999999996E-3</v>
      </c>
      <c r="AA1082" s="1">
        <v>36170</v>
      </c>
      <c r="AB1082" s="1">
        <v>207</v>
      </c>
      <c r="AC1082" s="29">
        <v>9234</v>
      </c>
    </row>
    <row r="1083" spans="1:29">
      <c r="A1083" s="12">
        <v>86</v>
      </c>
      <c r="B1083" s="12" t="s">
        <v>839</v>
      </c>
      <c r="C1083" s="12">
        <v>86749</v>
      </c>
      <c r="D1083" s="12" t="s">
        <v>847</v>
      </c>
      <c r="E1083" s="17">
        <v>0.87139296956977963</v>
      </c>
      <c r="F1083" s="17">
        <v>0.12860703043022037</v>
      </c>
      <c r="G1083" s="13">
        <v>0.89709948814496676</v>
      </c>
      <c r="H1083" s="13">
        <v>6.7721712538226297</v>
      </c>
      <c r="I1083" s="14">
        <v>9.6322692061150121</v>
      </c>
      <c r="J1083" s="16">
        <v>0.9516</v>
      </c>
      <c r="K1083" s="16">
        <v>0.9516</v>
      </c>
      <c r="L1083" s="13">
        <v>0.76119999999999999</v>
      </c>
      <c r="M1083" s="13">
        <v>2.52E-2</v>
      </c>
      <c r="N1083" s="13">
        <v>5.45E-2</v>
      </c>
      <c r="O1083" s="13">
        <v>0.03</v>
      </c>
      <c r="P1083" s="16">
        <v>0.71209999999999996</v>
      </c>
      <c r="Q1083" s="16">
        <v>0.71209999999999996</v>
      </c>
      <c r="R1083" s="16">
        <v>0.71279999999999999</v>
      </c>
      <c r="S1083" s="16">
        <f t="shared" si="34"/>
        <v>0.71233333333333337</v>
      </c>
      <c r="T1083" s="18">
        <v>0.82173539518900296</v>
      </c>
      <c r="U1083" s="1">
        <v>9.8039215689999999</v>
      </c>
      <c r="V1083" s="1">
        <f t="shared" si="33"/>
        <v>2.3799091764630713</v>
      </c>
      <c r="W1083" s="26"/>
      <c r="X1083">
        <v>3.61E-2</v>
      </c>
      <c r="Y1083" s="1">
        <v>0.47739999999999999</v>
      </c>
      <c r="Z1083" s="1">
        <v>0.39029999999999998</v>
      </c>
      <c r="AA1083" s="1">
        <v>16037</v>
      </c>
      <c r="AB1083" s="1">
        <v>102</v>
      </c>
      <c r="AC1083" s="29">
        <v>3081</v>
      </c>
    </row>
    <row r="1084" spans="1:29">
      <c r="A1084" s="12">
        <v>86</v>
      </c>
      <c r="B1084" s="12" t="s">
        <v>839</v>
      </c>
      <c r="C1084" s="12">
        <v>86755</v>
      </c>
      <c r="D1084" s="12" t="s">
        <v>103</v>
      </c>
      <c r="E1084" s="17">
        <v>0.90562521179261268</v>
      </c>
      <c r="F1084" s="17">
        <v>9.4374788207387331E-2</v>
      </c>
      <c r="G1084" s="13">
        <v>0.93209096651926726</v>
      </c>
      <c r="H1084" s="13">
        <v>9.5788530465949826</v>
      </c>
      <c r="I1084" s="14">
        <v>8.6832159752406888</v>
      </c>
      <c r="J1084" s="16">
        <v>0.63660000000000005</v>
      </c>
      <c r="K1084" s="16">
        <v>0.63660000000000005</v>
      </c>
      <c r="L1084" s="13">
        <v>0.36359999999999998</v>
      </c>
      <c r="M1084" s="13">
        <v>2.92E-2</v>
      </c>
      <c r="N1084" s="13">
        <v>5.4399999999999997E-2</v>
      </c>
      <c r="O1084" s="13">
        <v>3.5900000000000001E-2</v>
      </c>
      <c r="P1084" s="16">
        <v>0.37209999999999999</v>
      </c>
      <c r="Q1084" s="16">
        <v>0.37209999999999999</v>
      </c>
      <c r="R1084" s="16">
        <v>0.37209999999999999</v>
      </c>
      <c r="S1084" s="16">
        <f t="shared" si="34"/>
        <v>0.37209999999999993</v>
      </c>
      <c r="T1084" s="18">
        <v>0.76896551724137896</v>
      </c>
      <c r="U1084" s="1">
        <v>0</v>
      </c>
      <c r="V1084" s="1">
        <f t="shared" si="33"/>
        <v>0</v>
      </c>
      <c r="W1084" s="25"/>
      <c r="X1084">
        <v>0.1249</v>
      </c>
      <c r="Y1084" s="1">
        <v>4.1799999999999997E-2</v>
      </c>
      <c r="Z1084" s="1">
        <v>4.1000000000000002E-2</v>
      </c>
      <c r="AA1084" s="1">
        <v>5670</v>
      </c>
      <c r="AB1084" s="1">
        <v>44</v>
      </c>
      <c r="AC1084" s="29">
        <v>1126</v>
      </c>
    </row>
    <row r="1085" spans="1:29">
      <c r="A1085" s="12">
        <v>86</v>
      </c>
      <c r="B1085" s="12" t="s">
        <v>839</v>
      </c>
      <c r="C1085" s="12">
        <v>86757</v>
      </c>
      <c r="D1085" s="12" t="s">
        <v>846</v>
      </c>
      <c r="E1085" s="17">
        <v>0.95146307477937764</v>
      </c>
      <c r="F1085" s="17">
        <v>4.853692522062239E-2</v>
      </c>
      <c r="G1085" s="13">
        <v>1</v>
      </c>
      <c r="H1085" s="13">
        <v>19.584130019120458</v>
      </c>
      <c r="I1085" s="14">
        <v>9.9772490360981809</v>
      </c>
      <c r="J1085" s="16">
        <v>0.87660000000000005</v>
      </c>
      <c r="K1085" s="16">
        <v>0.87639999999999996</v>
      </c>
      <c r="L1085" s="13">
        <v>0.39379999999999998</v>
      </c>
      <c r="M1085" s="13">
        <v>6.5600000000000006E-2</v>
      </c>
      <c r="N1085" s="13">
        <v>7.1099999999999997E-2</v>
      </c>
      <c r="O1085" s="13">
        <v>4.5499999999999999E-2</v>
      </c>
      <c r="P1085" s="16">
        <v>5.8299999999999998E-2</v>
      </c>
      <c r="Q1085" s="16">
        <v>0.34520000000000001</v>
      </c>
      <c r="R1085" s="16">
        <v>0.55530000000000002</v>
      </c>
      <c r="S1085" s="16">
        <f t="shared" si="34"/>
        <v>0.31960000000000005</v>
      </c>
      <c r="T1085" s="18">
        <v>0.70106829454406694</v>
      </c>
      <c r="U1085" s="1">
        <v>18.292682930000002</v>
      </c>
      <c r="V1085" s="1">
        <f t="shared" si="33"/>
        <v>2.9597259012276949</v>
      </c>
      <c r="W1085" s="26"/>
      <c r="X1085">
        <v>5.2699999999999997E-2</v>
      </c>
      <c r="Y1085" s="1">
        <v>0.1168</v>
      </c>
      <c r="Z1085" s="1">
        <v>0.1105</v>
      </c>
      <c r="AA1085" s="1">
        <v>19566</v>
      </c>
      <c r="AB1085" s="1">
        <v>164</v>
      </c>
      <c r="AC1085" s="29">
        <v>4383</v>
      </c>
    </row>
    <row r="1086" spans="1:29">
      <c r="A1086" s="12">
        <v>86</v>
      </c>
      <c r="B1086" s="12" t="s">
        <v>839</v>
      </c>
      <c r="C1086" s="12">
        <v>86760</v>
      </c>
      <c r="D1086" s="12" t="s">
        <v>832</v>
      </c>
      <c r="E1086" s="17">
        <v>0.92758500638273178</v>
      </c>
      <c r="F1086" s="17">
        <v>7.2414993617268192E-2</v>
      </c>
      <c r="G1086" s="13">
        <v>1</v>
      </c>
      <c r="H1086" s="13">
        <v>12.7888</v>
      </c>
      <c r="I1086" s="14">
        <v>9.061608318175784</v>
      </c>
      <c r="J1086" s="16">
        <v>0.76370000000000005</v>
      </c>
      <c r="K1086" s="16">
        <v>0.76370000000000005</v>
      </c>
      <c r="L1086" s="13">
        <v>0.35680000000000001</v>
      </c>
      <c r="M1086" s="13">
        <v>5.3499999999999999E-2</v>
      </c>
      <c r="N1086" s="13">
        <v>5.5899999999999998E-2</v>
      </c>
      <c r="O1086" s="13">
        <v>2.4299999999999999E-2</v>
      </c>
      <c r="P1086" s="16">
        <v>0.3503</v>
      </c>
      <c r="Q1086" s="16">
        <v>0.3503</v>
      </c>
      <c r="R1086" s="16">
        <v>0.3503</v>
      </c>
      <c r="S1086" s="16">
        <f t="shared" si="34"/>
        <v>0.3503</v>
      </c>
      <c r="T1086" s="18">
        <v>0.73785871964679894</v>
      </c>
      <c r="U1086" s="1">
        <v>15.15151515</v>
      </c>
      <c r="V1086" s="1">
        <f t="shared" si="33"/>
        <v>2.7820138626055559</v>
      </c>
      <c r="W1086" s="25"/>
      <c r="X1086">
        <v>2.8199999999999999E-2</v>
      </c>
      <c r="Y1086" s="1">
        <v>7.0999999999999994E-2</v>
      </c>
      <c r="Z1086" s="1">
        <v>6.8599999999999994E-2</v>
      </c>
      <c r="AA1086" s="1">
        <v>7308</v>
      </c>
      <c r="AB1086" s="1">
        <v>66</v>
      </c>
      <c r="AC1086" s="29">
        <v>1575</v>
      </c>
    </row>
    <row r="1087" spans="1:29">
      <c r="A1087" s="12">
        <v>86</v>
      </c>
      <c r="B1087" s="12" t="s">
        <v>839</v>
      </c>
      <c r="C1087" s="12">
        <v>86865</v>
      </c>
      <c r="D1087" s="12" t="s">
        <v>848</v>
      </c>
      <c r="E1087" s="17">
        <v>0.91147517595586836</v>
      </c>
      <c r="F1087" s="17">
        <v>8.8501046224082169E-2</v>
      </c>
      <c r="G1087" s="13">
        <v>1</v>
      </c>
      <c r="H1087" s="13">
        <v>10.296266451786193</v>
      </c>
      <c r="I1087" s="14">
        <v>10.646781120036646</v>
      </c>
      <c r="J1087" s="16">
        <v>0.95689999999999997</v>
      </c>
      <c r="K1087" s="16">
        <v>0.95669999999999999</v>
      </c>
      <c r="L1087" s="13">
        <v>0.45839999999999997</v>
      </c>
      <c r="M1087" s="13">
        <v>7.3300000000000004E-2</v>
      </c>
      <c r="N1087" s="13">
        <v>7.3499999999999996E-2</v>
      </c>
      <c r="O1087" s="13">
        <v>5.5199999999999999E-2</v>
      </c>
      <c r="P1087" s="16">
        <v>0.65780000000000005</v>
      </c>
      <c r="Q1087" s="16">
        <v>0.31170000000000003</v>
      </c>
      <c r="R1087" s="16">
        <v>0.51359999999999995</v>
      </c>
      <c r="S1087" s="16">
        <f t="shared" si="34"/>
        <v>0.49436666666666662</v>
      </c>
      <c r="T1087" s="18">
        <v>0.54576152771308795</v>
      </c>
      <c r="U1087" s="1">
        <v>8.1632653059999996</v>
      </c>
      <c r="V1087" s="1">
        <f t="shared" si="33"/>
        <v>2.2152025896182646</v>
      </c>
      <c r="W1087" s="25"/>
      <c r="X1087">
        <v>7.3200000000000001E-2</v>
      </c>
      <c r="Y1087" s="1">
        <v>5.8000000000000003E-2</v>
      </c>
      <c r="Z1087" s="1">
        <v>5.6399999999999999E-2</v>
      </c>
      <c r="AA1087" s="1">
        <v>34604</v>
      </c>
      <c r="AB1087" s="1">
        <v>490</v>
      </c>
      <c r="AC1087" s="29">
        <v>7260</v>
      </c>
    </row>
    <row r="1088" spans="1:29">
      <c r="A1088" s="12">
        <v>86</v>
      </c>
      <c r="B1088" s="12" t="s">
        <v>839</v>
      </c>
      <c r="C1088" s="12">
        <v>86885</v>
      </c>
      <c r="D1088" s="12" t="s">
        <v>849</v>
      </c>
      <c r="E1088" s="17">
        <v>0.84243163211983974</v>
      </c>
      <c r="F1088" s="17">
        <v>0.15756836788016024</v>
      </c>
      <c r="G1088" s="13">
        <v>1</v>
      </c>
      <c r="H1088" s="13">
        <v>5.3452696728558795</v>
      </c>
      <c r="I1088" s="14">
        <v>10.264861439131325</v>
      </c>
      <c r="J1088" s="16">
        <v>0.95989999999999998</v>
      </c>
      <c r="K1088" s="16">
        <v>0.95989999999999998</v>
      </c>
      <c r="L1088" s="13">
        <v>0.4163</v>
      </c>
      <c r="M1088" s="13">
        <v>5.6500000000000002E-2</v>
      </c>
      <c r="N1088" s="13">
        <v>9.1399999999999995E-2</v>
      </c>
      <c r="O1088" s="13">
        <v>6.0199999999999997E-2</v>
      </c>
      <c r="P1088" s="16">
        <v>0.24</v>
      </c>
      <c r="Q1088" s="16">
        <v>0.24</v>
      </c>
      <c r="R1088" s="16">
        <v>0.24</v>
      </c>
      <c r="S1088" s="16">
        <f t="shared" si="34"/>
        <v>0.24</v>
      </c>
      <c r="T1088" s="18">
        <v>1</v>
      </c>
      <c r="U1088" s="1">
        <v>13.651877130000001</v>
      </c>
      <c r="V1088" s="1">
        <f t="shared" si="33"/>
        <v>2.6845684589955203</v>
      </c>
      <c r="W1088" s="26"/>
      <c r="X1088">
        <v>0.2278</v>
      </c>
      <c r="Y1088" s="1">
        <v>0.13</v>
      </c>
      <c r="Z1088" s="1">
        <v>0.1222</v>
      </c>
      <c r="AA1088" s="1">
        <v>25576</v>
      </c>
      <c r="AB1088" s="1">
        <v>293</v>
      </c>
      <c r="AC1088" s="29">
        <v>6014</v>
      </c>
    </row>
    <row r="1089" spans="1:29" ht="25.5">
      <c r="A1089" s="12">
        <v>88</v>
      </c>
      <c r="B1089" s="12" t="s">
        <v>101</v>
      </c>
      <c r="C1089" s="12">
        <v>88001</v>
      </c>
      <c r="D1089" s="12" t="s">
        <v>101</v>
      </c>
      <c r="E1089" s="17">
        <v>0.35277022117837892</v>
      </c>
      <c r="F1089" s="17">
        <v>0.64722977882162103</v>
      </c>
      <c r="G1089" s="13">
        <v>1</v>
      </c>
      <c r="H1089" s="13">
        <v>0.54503210985224249</v>
      </c>
      <c r="I1089" s="14">
        <v>10.988406514072235</v>
      </c>
      <c r="J1089" s="16">
        <v>0.95879999999999999</v>
      </c>
      <c r="K1089" s="16">
        <v>0.95809999999999995</v>
      </c>
      <c r="L1089" s="13">
        <v>0.53920000000000001</v>
      </c>
      <c r="M1089" s="13">
        <v>2.01E-2</v>
      </c>
      <c r="N1089" s="13">
        <v>9.0499999999999997E-2</v>
      </c>
      <c r="O1089" s="13">
        <v>0.1061</v>
      </c>
      <c r="P1089" s="16"/>
      <c r="Q1089" s="16"/>
      <c r="R1089" s="16"/>
      <c r="S1089" s="16"/>
      <c r="T1089" s="18"/>
      <c r="U1089" s="1">
        <v>11.15241636</v>
      </c>
      <c r="V1089" s="1">
        <f t="shared" si="33"/>
        <v>2.4975280273793308</v>
      </c>
      <c r="W1089" s="26"/>
      <c r="X1089">
        <v>0</v>
      </c>
      <c r="Y1089" s="1">
        <v>13.367699999999999</v>
      </c>
      <c r="Z1089" s="1">
        <v>2.665</v>
      </c>
      <c r="AA1089" s="1">
        <v>56965</v>
      </c>
      <c r="AB1089" s="1">
        <v>538</v>
      </c>
      <c r="AC1089" s="29">
        <v>9800</v>
      </c>
    </row>
    <row r="1090" spans="1:29" ht="25.5">
      <c r="A1090" s="12">
        <v>88</v>
      </c>
      <c r="B1090" s="12" t="s">
        <v>101</v>
      </c>
      <c r="C1090" s="12">
        <v>88564</v>
      </c>
      <c r="D1090" s="12" t="s">
        <v>786</v>
      </c>
      <c r="E1090" s="17">
        <v>0.37081229921982561</v>
      </c>
      <c r="F1090" s="17">
        <v>0.62918770078017439</v>
      </c>
      <c r="G1090" s="13">
        <v>0.73367003367003369</v>
      </c>
      <c r="H1090" s="13">
        <v>0.58913598250091137</v>
      </c>
      <c r="I1090" s="14">
        <v>8.3799979522383925</v>
      </c>
      <c r="J1090" s="16">
        <v>0.78459999999999996</v>
      </c>
      <c r="K1090" s="16">
        <v>0.78459999999999996</v>
      </c>
      <c r="L1090" s="13">
        <v>0.57540000000000002</v>
      </c>
      <c r="M1090" s="13">
        <v>1.41E-2</v>
      </c>
      <c r="N1090" s="13">
        <v>3.9E-2</v>
      </c>
      <c r="O1090" s="13">
        <v>3.6799999999999999E-2</v>
      </c>
      <c r="P1090" s="16">
        <v>0.5837</v>
      </c>
      <c r="Q1090" s="16">
        <v>1.5900000000000001E-2</v>
      </c>
      <c r="R1090" s="16">
        <v>0.80370000000000008</v>
      </c>
      <c r="S1090" s="16">
        <f>+(P1090+Q1090+R1090)/3</f>
        <v>0.46776666666666672</v>
      </c>
      <c r="T1090" s="18">
        <v>1</v>
      </c>
      <c r="U1090" s="1">
        <v>0</v>
      </c>
      <c r="V1090" s="1">
        <f t="shared" ref="V1090:V1153" si="35">LN(U1090+1)</f>
        <v>0</v>
      </c>
      <c r="W1090" s="25"/>
      <c r="X1090">
        <v>0.35970000000000002</v>
      </c>
      <c r="Y1090" s="1">
        <v>2.1595</v>
      </c>
      <c r="Z1090" s="1">
        <v>1.1504000000000001</v>
      </c>
      <c r="AA1090" s="1">
        <v>6285</v>
      </c>
      <c r="AB1090" s="1">
        <v>63</v>
      </c>
      <c r="AC1090" s="29">
        <v>1192</v>
      </c>
    </row>
    <row r="1091" spans="1:29">
      <c r="A1091" s="12">
        <v>91</v>
      </c>
      <c r="B1091" s="12" t="s">
        <v>0</v>
      </c>
      <c r="C1091" s="12">
        <v>91001</v>
      </c>
      <c r="D1091" s="12" t="s">
        <v>5</v>
      </c>
      <c r="E1091" s="17">
        <v>0.72895794174958184</v>
      </c>
      <c r="F1091" s="17">
        <v>0.27104205825041816</v>
      </c>
      <c r="G1091" s="13">
        <v>1</v>
      </c>
      <c r="H1091" s="13">
        <v>2.689293212036389</v>
      </c>
      <c r="I1091" s="14">
        <v>10.968060348980714</v>
      </c>
      <c r="J1091" s="16">
        <v>0.88180000000000003</v>
      </c>
      <c r="K1091" s="16">
        <v>0.88170000000000004</v>
      </c>
      <c r="L1091" s="13">
        <v>0.36449999999999999</v>
      </c>
      <c r="M1091" s="13">
        <v>5.6099999999999997E-2</v>
      </c>
      <c r="N1091" s="13">
        <v>0.12230000000000001</v>
      </c>
      <c r="O1091" s="13">
        <v>4.6899999999999997E-2</v>
      </c>
      <c r="P1091" s="16">
        <v>0</v>
      </c>
      <c r="Q1091" s="16">
        <v>0</v>
      </c>
      <c r="R1091" s="16"/>
      <c r="S1091" s="16">
        <f>+(P1091+Q1091+R1091)/3</f>
        <v>0</v>
      </c>
      <c r="T1091" s="18">
        <v>1</v>
      </c>
      <c r="U1091" s="1">
        <v>14.18439716</v>
      </c>
      <c r="V1091" s="1">
        <f t="shared" si="35"/>
        <v>2.7202683980060032</v>
      </c>
      <c r="W1091" s="25"/>
      <c r="X1091">
        <v>0.1424</v>
      </c>
      <c r="Y1091" s="1">
        <v>2.0899999999999998E-2</v>
      </c>
      <c r="Z1091" s="1">
        <v>2.07E-2</v>
      </c>
      <c r="AA1091" s="1">
        <v>53059</v>
      </c>
      <c r="AB1091" s="1">
        <v>564</v>
      </c>
      <c r="AC1091" s="29">
        <v>12993</v>
      </c>
    </row>
    <row r="1092" spans="1:29">
      <c r="A1092" s="12">
        <v>91</v>
      </c>
      <c r="B1092" s="12" t="s">
        <v>0</v>
      </c>
      <c r="C1092" s="12">
        <v>91263</v>
      </c>
      <c r="D1092" s="12" t="s">
        <v>1</v>
      </c>
      <c r="E1092" s="17">
        <v>0.92345814977973573</v>
      </c>
      <c r="F1092" s="17">
        <v>7.6541850220264315E-2</v>
      </c>
      <c r="G1092" s="13">
        <v>0.84386617100371752</v>
      </c>
      <c r="H1092" s="13">
        <v>11.978571428571428</v>
      </c>
      <c r="I1092" s="14">
        <v>7.5049420683961712</v>
      </c>
      <c r="J1092" s="16">
        <v>0.51370000000000005</v>
      </c>
      <c r="K1092" s="16">
        <v>0.51370000000000005</v>
      </c>
      <c r="L1092" s="13">
        <v>0.1062</v>
      </c>
      <c r="M1092" s="13">
        <v>3.09E-2</v>
      </c>
      <c r="N1092" s="13">
        <v>6.1600000000000002E-2</v>
      </c>
      <c r="O1092" s="13">
        <v>1.6899999999999998E-2</v>
      </c>
      <c r="P1092" s="16"/>
      <c r="Q1092" s="16"/>
      <c r="R1092" s="16"/>
      <c r="S1092" s="16"/>
      <c r="T1092" s="18"/>
      <c r="U1092" s="1">
        <v>0</v>
      </c>
      <c r="V1092" s="1">
        <f t="shared" si="35"/>
        <v>0</v>
      </c>
      <c r="W1092" s="25"/>
      <c r="X1092">
        <v>0</v>
      </c>
      <c r="Y1092" s="1">
        <v>2.9999999999999997E-4</v>
      </c>
      <c r="Z1092" s="1">
        <v>2.9999999999999997E-4</v>
      </c>
      <c r="AA1092" s="1">
        <v>2211</v>
      </c>
      <c r="AB1092" s="1">
        <v>8</v>
      </c>
      <c r="AC1092" s="29">
        <v>664</v>
      </c>
    </row>
    <row r="1093" spans="1:29">
      <c r="A1093" s="12">
        <v>91</v>
      </c>
      <c r="B1093" s="12" t="s">
        <v>0</v>
      </c>
      <c r="C1093" s="12">
        <v>91405</v>
      </c>
      <c r="D1093" s="12" t="s">
        <v>2</v>
      </c>
      <c r="E1093" s="17">
        <v>0.93450881612090675</v>
      </c>
      <c r="F1093" s="17">
        <v>6.5491183879093195E-2</v>
      </c>
      <c r="G1093" s="13">
        <v>0.74344569288389517</v>
      </c>
      <c r="H1093" s="13">
        <v>14.178343949044587</v>
      </c>
      <c r="I1093" s="14">
        <v>7.7761154770987417</v>
      </c>
      <c r="J1093" s="16">
        <v>0.50380000000000003</v>
      </c>
      <c r="K1093" s="16">
        <v>0.50380000000000003</v>
      </c>
      <c r="L1093" s="13">
        <v>9.7900000000000001E-2</v>
      </c>
      <c r="M1093" s="13">
        <v>0.14810000000000001</v>
      </c>
      <c r="N1093" s="13">
        <v>8.8499999999999995E-2</v>
      </c>
      <c r="O1093" s="13">
        <v>6.5600000000000006E-2</v>
      </c>
      <c r="P1093" s="16"/>
      <c r="Q1093" s="16"/>
      <c r="R1093" s="16"/>
      <c r="S1093" s="16"/>
      <c r="T1093" s="18"/>
      <c r="U1093" s="1">
        <v>0</v>
      </c>
      <c r="V1093" s="1">
        <f t="shared" si="35"/>
        <v>0</v>
      </c>
      <c r="W1093" s="26"/>
      <c r="X1093">
        <v>0</v>
      </c>
      <c r="Y1093" s="1">
        <v>0</v>
      </c>
      <c r="Z1093" s="1">
        <v>0</v>
      </c>
      <c r="AA1093" s="1">
        <v>3127</v>
      </c>
      <c r="AB1093" s="1">
        <v>25</v>
      </c>
      <c r="AC1093" s="29">
        <v>1134</v>
      </c>
    </row>
    <row r="1094" spans="1:29">
      <c r="A1094" s="12">
        <v>91</v>
      </c>
      <c r="B1094" s="12" t="s">
        <v>0</v>
      </c>
      <c r="C1094" s="12">
        <v>91407</v>
      </c>
      <c r="D1094" s="12" t="s">
        <v>3</v>
      </c>
      <c r="E1094" s="17">
        <v>0.96115865701119152</v>
      </c>
      <c r="F1094" s="17">
        <v>3.8841342988808425E-2</v>
      </c>
      <c r="G1094" s="13">
        <v>0.71415138692994828</v>
      </c>
      <c r="H1094" s="13">
        <v>24.537815126050422</v>
      </c>
      <c r="I1094" s="14">
        <v>8.0192837929167933</v>
      </c>
      <c r="J1094" s="16">
        <v>0.67049999999999998</v>
      </c>
      <c r="K1094" s="16">
        <v>0.67049999999999998</v>
      </c>
      <c r="L1094" s="13">
        <v>0.1837</v>
      </c>
      <c r="M1094" s="13">
        <v>1.7899999999999999E-2</v>
      </c>
      <c r="N1094" s="13">
        <v>0.13869999999999999</v>
      </c>
      <c r="O1094" s="13">
        <v>2.2000000000000001E-3</v>
      </c>
      <c r="P1094" s="16"/>
      <c r="Q1094" s="16"/>
      <c r="R1094" s="16"/>
      <c r="S1094" s="16"/>
      <c r="T1094" s="18"/>
      <c r="U1094" s="1">
        <v>66.666666669999998</v>
      </c>
      <c r="V1094" s="1">
        <f t="shared" si="35"/>
        <v>4.2145936904229391</v>
      </c>
      <c r="W1094" s="25"/>
      <c r="X1094">
        <v>0</v>
      </c>
      <c r="Y1094" s="1">
        <v>0</v>
      </c>
      <c r="Z1094" s="1">
        <v>0</v>
      </c>
      <c r="AA1094" s="1">
        <v>4073</v>
      </c>
      <c r="AB1094" s="1">
        <v>30</v>
      </c>
      <c r="AC1094" s="29">
        <v>1173</v>
      </c>
    </row>
    <row r="1095" spans="1:29">
      <c r="A1095" s="12">
        <v>91</v>
      </c>
      <c r="B1095" s="12" t="s">
        <v>0</v>
      </c>
      <c r="C1095" s="12">
        <v>91430</v>
      </c>
      <c r="D1095" s="12" t="s">
        <v>4</v>
      </c>
      <c r="E1095" s="17">
        <v>0.86577181208053688</v>
      </c>
      <c r="F1095" s="17">
        <v>0.13422818791946309</v>
      </c>
      <c r="G1095" s="13">
        <v>0.21469740634005763</v>
      </c>
      <c r="H1095" s="13">
        <v>6.1428571428571432</v>
      </c>
      <c r="I1095" s="14">
        <v>5.0106352940962555</v>
      </c>
      <c r="J1095" s="16">
        <v>0.13170000000000001</v>
      </c>
      <c r="K1095" s="16">
        <v>0.13170000000000001</v>
      </c>
      <c r="L1095" s="13">
        <v>0</v>
      </c>
      <c r="M1095" s="13">
        <v>0</v>
      </c>
      <c r="N1095" s="13">
        <v>0.2727</v>
      </c>
      <c r="O1095" s="13">
        <v>0</v>
      </c>
      <c r="P1095" s="16"/>
      <c r="Q1095" s="16"/>
      <c r="R1095" s="16"/>
      <c r="S1095" s="16"/>
      <c r="T1095" s="18"/>
      <c r="U1095" s="1">
        <v>0</v>
      </c>
      <c r="V1095" s="1">
        <f t="shared" si="35"/>
        <v>0</v>
      </c>
      <c r="W1095" s="26"/>
      <c r="X1095">
        <v>0</v>
      </c>
      <c r="Y1095" s="1">
        <v>0</v>
      </c>
      <c r="Z1095" s="1">
        <v>0</v>
      </c>
      <c r="AA1095" s="1">
        <v>681</v>
      </c>
      <c r="AB1095" s="1">
        <v>1</v>
      </c>
      <c r="AC1095" s="29">
        <v>159</v>
      </c>
    </row>
    <row r="1096" spans="1:29">
      <c r="A1096" s="12">
        <v>91</v>
      </c>
      <c r="B1096" s="12" t="s">
        <v>0</v>
      </c>
      <c r="C1096" s="12">
        <v>91460</v>
      </c>
      <c r="D1096" s="12" t="s">
        <v>6</v>
      </c>
      <c r="E1096" s="17">
        <v>0.96489648964896491</v>
      </c>
      <c r="F1096" s="17">
        <v>3.5103510351035101E-2</v>
      </c>
      <c r="G1096" s="13">
        <v>0.5732714138286894</v>
      </c>
      <c r="H1096" s="13">
        <v>26.8</v>
      </c>
      <c r="I1096" s="14">
        <v>7.0139154748105277</v>
      </c>
      <c r="J1096" s="16">
        <v>0.4607</v>
      </c>
      <c r="K1096" s="16">
        <v>0.4607</v>
      </c>
      <c r="L1096" s="13">
        <v>0.11609999999999999</v>
      </c>
      <c r="M1096" s="13">
        <v>3.27E-2</v>
      </c>
      <c r="N1096" s="13">
        <v>0.13730000000000001</v>
      </c>
      <c r="O1096" s="13">
        <v>0</v>
      </c>
      <c r="P1096" s="16"/>
      <c r="Q1096" s="16"/>
      <c r="R1096" s="16"/>
      <c r="S1096" s="16"/>
      <c r="T1096" s="18"/>
      <c r="U1096" s="1">
        <v>0</v>
      </c>
      <c r="V1096" s="1">
        <f t="shared" si="35"/>
        <v>0</v>
      </c>
      <c r="W1096" s="26"/>
      <c r="X1096">
        <v>0</v>
      </c>
      <c r="Y1096" s="1">
        <v>0</v>
      </c>
      <c r="Z1096" s="1">
        <v>0</v>
      </c>
      <c r="AA1096" s="1">
        <v>2043</v>
      </c>
      <c r="AB1096" s="1">
        <v>4</v>
      </c>
      <c r="AC1096" s="29">
        <v>610</v>
      </c>
    </row>
    <row r="1097" spans="1:29">
      <c r="A1097" s="12">
        <v>91</v>
      </c>
      <c r="B1097" s="12" t="s">
        <v>0</v>
      </c>
      <c r="C1097" s="12">
        <v>91530</v>
      </c>
      <c r="D1097" s="12" t="s">
        <v>8</v>
      </c>
      <c r="E1097" s="17">
        <v>0.9822616407982262</v>
      </c>
      <c r="F1097" s="17">
        <v>1.7738359201773836E-2</v>
      </c>
      <c r="G1097" s="13">
        <v>0.56944444444444442</v>
      </c>
      <c r="H1097" s="13">
        <v>49.222222222222221</v>
      </c>
      <c r="I1097" s="14">
        <v>6.1136821798322316</v>
      </c>
      <c r="J1097" s="16">
        <v>0.72170000000000001</v>
      </c>
      <c r="K1097" s="16">
        <v>0.72170000000000001</v>
      </c>
      <c r="L1097" s="13">
        <v>0</v>
      </c>
      <c r="M1097" s="13">
        <v>5.2299999999999999E-2</v>
      </c>
      <c r="N1097" s="13">
        <v>0.1686</v>
      </c>
      <c r="O1097" s="13">
        <v>7.5600000000000001E-2</v>
      </c>
      <c r="P1097" s="16"/>
      <c r="Q1097" s="16"/>
      <c r="R1097" s="16"/>
      <c r="S1097" s="16"/>
      <c r="T1097" s="18"/>
      <c r="U1097" s="1">
        <v>0</v>
      </c>
      <c r="V1097" s="1">
        <f t="shared" si="35"/>
        <v>0</v>
      </c>
      <c r="W1097" s="26"/>
      <c r="X1097">
        <v>0</v>
      </c>
      <c r="Y1097" s="1">
        <v>0</v>
      </c>
      <c r="Z1097" s="1">
        <v>0</v>
      </c>
      <c r="AA1097" s="1">
        <v>793</v>
      </c>
      <c r="AB1097" s="1">
        <v>1</v>
      </c>
      <c r="AC1097" s="29">
        <v>208</v>
      </c>
    </row>
    <row r="1098" spans="1:29">
      <c r="A1098" s="12">
        <v>91</v>
      </c>
      <c r="B1098" s="12" t="s">
        <v>0</v>
      </c>
      <c r="C1098" s="12">
        <v>91536</v>
      </c>
      <c r="D1098" s="12" t="s">
        <v>9</v>
      </c>
      <c r="E1098" s="17">
        <v>0.97185741088180111</v>
      </c>
      <c r="F1098" s="17">
        <v>2.8142589118198873E-2</v>
      </c>
      <c r="G1098" s="13">
        <v>0.97529734675205859</v>
      </c>
      <c r="H1098" s="13">
        <v>33.41935483870968</v>
      </c>
      <c r="I1098" s="14">
        <v>6.9726062513017535</v>
      </c>
      <c r="J1098" s="16">
        <v>0.83460000000000001</v>
      </c>
      <c r="K1098" s="16">
        <v>0.83460000000000001</v>
      </c>
      <c r="L1098" s="13">
        <v>0.23680000000000001</v>
      </c>
      <c r="M1098" s="13">
        <v>0</v>
      </c>
      <c r="N1098" s="13">
        <v>0.11459999999999999</v>
      </c>
      <c r="O1098" s="13">
        <v>0</v>
      </c>
      <c r="P1098" s="16"/>
      <c r="Q1098" s="16"/>
      <c r="R1098" s="16"/>
      <c r="S1098" s="16"/>
      <c r="T1098" s="18"/>
      <c r="U1098" s="1">
        <v>0</v>
      </c>
      <c r="V1098" s="1">
        <f t="shared" si="35"/>
        <v>0</v>
      </c>
      <c r="W1098" s="25"/>
      <c r="X1098">
        <v>0</v>
      </c>
      <c r="Y1098" s="1">
        <v>0</v>
      </c>
      <c r="Z1098" s="1">
        <v>0</v>
      </c>
      <c r="AA1098" s="1">
        <v>1067</v>
      </c>
      <c r="AB1098" s="1">
        <v>8</v>
      </c>
      <c r="AC1098" s="29">
        <v>276</v>
      </c>
    </row>
    <row r="1099" spans="1:29">
      <c r="A1099" s="12">
        <v>91</v>
      </c>
      <c r="B1099" s="12" t="s">
        <v>0</v>
      </c>
      <c r="C1099" s="12">
        <v>91540</v>
      </c>
      <c r="D1099" s="12" t="s">
        <v>10</v>
      </c>
      <c r="E1099" s="17">
        <v>0.91969431220245557</v>
      </c>
      <c r="F1099" s="17">
        <v>8.0305687797544476E-2</v>
      </c>
      <c r="G1099" s="13">
        <v>0.73041727672035139</v>
      </c>
      <c r="H1099" s="13">
        <v>11.434579439252337</v>
      </c>
      <c r="I1099" s="14">
        <v>8.9850695596457992</v>
      </c>
      <c r="J1099" s="16">
        <v>0.54349999999999998</v>
      </c>
      <c r="K1099" s="16">
        <v>0.54349999999999998</v>
      </c>
      <c r="L1099" s="13">
        <v>0.1507</v>
      </c>
      <c r="M1099" s="13">
        <v>3.6200000000000003E-2</v>
      </c>
      <c r="N1099" s="13">
        <v>0.16539999999999999</v>
      </c>
      <c r="O1099" s="13">
        <v>8.5599999999999996E-2</v>
      </c>
      <c r="P1099" s="16">
        <v>1</v>
      </c>
      <c r="Q1099" s="16">
        <v>1</v>
      </c>
      <c r="R1099" s="16">
        <v>1</v>
      </c>
      <c r="S1099" s="16">
        <f>+(P1099+Q1099+R1099)/3</f>
        <v>1</v>
      </c>
      <c r="T1099" s="18">
        <v>0.43197026022304796</v>
      </c>
      <c r="U1099" s="1">
        <v>25.97402597</v>
      </c>
      <c r="V1099" s="1">
        <f t="shared" si="35"/>
        <v>3.2948744018731748</v>
      </c>
      <c r="W1099" s="26"/>
      <c r="X1099">
        <v>1.3100000000000001E-2</v>
      </c>
      <c r="Y1099" s="1">
        <v>3.0999999999999999E-3</v>
      </c>
      <c r="Z1099" s="1">
        <v>3.0999999999999999E-3</v>
      </c>
      <c r="AA1099" s="1">
        <v>11184</v>
      </c>
      <c r="AB1099" s="1">
        <v>77</v>
      </c>
      <c r="AC1099" s="29">
        <v>3268</v>
      </c>
    </row>
    <row r="1100" spans="1:29">
      <c r="A1100" s="12">
        <v>91</v>
      </c>
      <c r="B1100" s="12" t="s">
        <v>0</v>
      </c>
      <c r="C1100" s="12">
        <v>91669</v>
      </c>
      <c r="D1100" s="12" t="s">
        <v>7</v>
      </c>
      <c r="E1100" s="17">
        <v>0.97804878048780486</v>
      </c>
      <c r="F1100" s="17">
        <v>2.1951219512195121E-2</v>
      </c>
      <c r="G1100" s="13">
        <v>0.6272310045894951</v>
      </c>
      <c r="H1100" s="13">
        <v>42.964285714285715</v>
      </c>
      <c r="I1100" s="14">
        <v>7.1155821261844538</v>
      </c>
      <c r="J1100" s="16">
        <v>0.60060000000000002</v>
      </c>
      <c r="K1100" s="16">
        <v>0.60060000000000002</v>
      </c>
      <c r="L1100" s="13">
        <v>8.2500000000000004E-2</v>
      </c>
      <c r="M1100" s="13">
        <v>7.4999999999999997E-3</v>
      </c>
      <c r="N1100" s="13">
        <v>0.125</v>
      </c>
      <c r="O1100" s="13">
        <v>0</v>
      </c>
      <c r="P1100" s="16"/>
      <c r="Q1100" s="16"/>
      <c r="R1100" s="16"/>
      <c r="S1100" s="16"/>
      <c r="T1100" s="18"/>
      <c r="U1100" s="1">
        <v>0</v>
      </c>
      <c r="V1100" s="1">
        <f t="shared" si="35"/>
        <v>0</v>
      </c>
      <c r="W1100" s="25"/>
      <c r="X1100">
        <v>0</v>
      </c>
      <c r="Y1100" s="1">
        <v>0</v>
      </c>
      <c r="Z1100" s="1">
        <v>0</v>
      </c>
      <c r="AA1100" s="1">
        <v>1853</v>
      </c>
      <c r="AB1100" s="1">
        <v>17</v>
      </c>
      <c r="AC1100" s="29">
        <v>575</v>
      </c>
    </row>
    <row r="1101" spans="1:29">
      <c r="A1101" s="12">
        <v>91</v>
      </c>
      <c r="B1101" s="12" t="s">
        <v>0</v>
      </c>
      <c r="C1101" s="12">
        <v>91798</v>
      </c>
      <c r="D1101" s="12" t="s">
        <v>11</v>
      </c>
      <c r="E1101" s="17">
        <v>0.94659863945578226</v>
      </c>
      <c r="F1101" s="17">
        <v>5.3401360544217687E-2</v>
      </c>
      <c r="G1101" s="13">
        <v>0.67200000000000004</v>
      </c>
      <c r="H1101" s="13">
        <v>17.61392405063291</v>
      </c>
      <c r="I1101" s="14">
        <v>7.9865049385539955</v>
      </c>
      <c r="J1101" s="16">
        <v>0.52549999999999997</v>
      </c>
      <c r="K1101" s="16">
        <v>0.52549999999999997</v>
      </c>
      <c r="L1101" s="13">
        <v>2.6200000000000001E-2</v>
      </c>
      <c r="M1101" s="13">
        <v>2.1999999999999999E-2</v>
      </c>
      <c r="N1101" s="13">
        <v>0.1744</v>
      </c>
      <c r="O1101" s="13">
        <v>0</v>
      </c>
      <c r="P1101" s="16"/>
      <c r="Q1101" s="16"/>
      <c r="R1101" s="16"/>
      <c r="S1101" s="16"/>
      <c r="T1101" s="18"/>
      <c r="U1101" s="1">
        <v>78.947368420000004</v>
      </c>
      <c r="V1101" s="1">
        <f t="shared" si="35"/>
        <v>4.3813685234161657</v>
      </c>
      <c r="W1101" s="25"/>
      <c r="X1101">
        <v>0</v>
      </c>
      <c r="Y1101" s="1">
        <v>0</v>
      </c>
      <c r="Z1101" s="1">
        <v>0</v>
      </c>
      <c r="AA1101" s="1">
        <v>4018</v>
      </c>
      <c r="AB1101" s="1">
        <v>38</v>
      </c>
      <c r="AC1101" s="29">
        <v>1223</v>
      </c>
    </row>
    <row r="1102" spans="1:29">
      <c r="A1102" s="12">
        <v>94</v>
      </c>
      <c r="B1102" s="12" t="s">
        <v>631</v>
      </c>
      <c r="C1102" s="12">
        <v>94001</v>
      </c>
      <c r="D1102" s="12" t="s">
        <v>634</v>
      </c>
      <c r="E1102" s="17">
        <v>0.86959403072995922</v>
      </c>
      <c r="F1102" s="17">
        <v>0.13040596927004075</v>
      </c>
      <c r="G1102" s="13">
        <v>1</v>
      </c>
      <c r="H1102" s="13">
        <v>6.667105758374106</v>
      </c>
      <c r="I1102" s="14">
        <v>10.615039324772178</v>
      </c>
      <c r="J1102" s="16">
        <v>0.77410000000000001</v>
      </c>
      <c r="K1102" s="16">
        <v>0.77410000000000001</v>
      </c>
      <c r="L1102" s="13">
        <v>0.14849999999999999</v>
      </c>
      <c r="M1102" s="13">
        <v>5.1900000000000002E-2</v>
      </c>
      <c r="N1102" s="13">
        <v>0.14899999999999999</v>
      </c>
      <c r="O1102" s="13">
        <v>0.1469</v>
      </c>
      <c r="P1102" s="16">
        <v>0.19870000000000002</v>
      </c>
      <c r="Q1102" s="16">
        <v>0.15010000000000001</v>
      </c>
      <c r="R1102" s="16"/>
      <c r="S1102" s="16">
        <f>+(P1102+Q1102+R1102)/3</f>
        <v>0.11626666666666667</v>
      </c>
      <c r="T1102" s="18">
        <v>0.96308724832214698</v>
      </c>
      <c r="U1102" s="1">
        <v>19.53818828</v>
      </c>
      <c r="V1102" s="1">
        <f t="shared" si="35"/>
        <v>3.022285996131103</v>
      </c>
      <c r="W1102" s="25"/>
      <c r="X1102">
        <v>0.12820000000000001</v>
      </c>
      <c r="Y1102" s="1">
        <v>6.7999999999999996E-3</v>
      </c>
      <c r="Z1102" s="1">
        <v>6.7999999999999996E-3</v>
      </c>
      <c r="AA1102" s="1">
        <v>38710</v>
      </c>
      <c r="AB1102" s="1">
        <v>563</v>
      </c>
      <c r="AC1102" s="29">
        <v>10238</v>
      </c>
    </row>
    <row r="1103" spans="1:29">
      <c r="A1103" s="12">
        <v>94</v>
      </c>
      <c r="B1103" s="12" t="s">
        <v>631</v>
      </c>
      <c r="C1103" s="12">
        <v>94343</v>
      </c>
      <c r="D1103" s="12" t="s">
        <v>632</v>
      </c>
      <c r="E1103" s="17">
        <v>0.94074262461851477</v>
      </c>
      <c r="F1103" s="17">
        <v>5.9257375381485247E-2</v>
      </c>
      <c r="G1103" s="13">
        <v>0.70942715381145693</v>
      </c>
      <c r="H1103" s="13">
        <v>15.841541755888651</v>
      </c>
      <c r="I1103" s="14">
        <v>8.970177815492379</v>
      </c>
      <c r="J1103" s="16">
        <v>0.65869999999999995</v>
      </c>
      <c r="K1103" s="16">
        <v>0.65869999999999995</v>
      </c>
      <c r="L1103" s="13">
        <v>8.8700000000000001E-2</v>
      </c>
      <c r="M1103" s="13">
        <v>4.3999999999999997E-2</v>
      </c>
      <c r="N1103" s="13">
        <v>0.1305</v>
      </c>
      <c r="O1103" s="13">
        <v>0.16589999999999999</v>
      </c>
      <c r="P1103" s="16">
        <v>0</v>
      </c>
      <c r="Q1103" s="16">
        <v>0</v>
      </c>
      <c r="R1103" s="16">
        <v>0</v>
      </c>
      <c r="S1103" s="16">
        <f>+(P1103+Q1103+R1103)/3</f>
        <v>0</v>
      </c>
      <c r="T1103" s="18">
        <v>0.79925994449583693</v>
      </c>
      <c r="U1103" s="1">
        <v>27.272727270000001</v>
      </c>
      <c r="V1103" s="1">
        <f t="shared" si="35"/>
        <v>3.3418976392844004</v>
      </c>
      <c r="W1103" s="25"/>
      <c r="X1103">
        <v>0</v>
      </c>
      <c r="Y1103" s="1">
        <v>0</v>
      </c>
      <c r="Z1103" s="1">
        <v>0</v>
      </c>
      <c r="AA1103" s="1">
        <v>11359</v>
      </c>
      <c r="AB1103" s="1">
        <v>110</v>
      </c>
      <c r="AC1103" s="29">
        <v>4607</v>
      </c>
    </row>
    <row r="1104" spans="1:29">
      <c r="A1104" s="12">
        <v>94</v>
      </c>
      <c r="B1104" s="12" t="s">
        <v>631</v>
      </c>
      <c r="C1104" s="12">
        <v>94883</v>
      </c>
      <c r="D1104" s="12" t="s">
        <v>638</v>
      </c>
      <c r="E1104" s="17">
        <v>0.98128898128898134</v>
      </c>
      <c r="F1104" s="17">
        <v>1.8711018711018712E-2</v>
      </c>
      <c r="G1104" s="13">
        <v>0.72077922077922074</v>
      </c>
      <c r="H1104" s="13">
        <v>50.571428571428569</v>
      </c>
      <c r="I1104" s="14">
        <v>7.2751723194527713</v>
      </c>
      <c r="J1104" s="16">
        <v>0.61129999999999995</v>
      </c>
      <c r="K1104" s="16">
        <v>0.61129999999999995</v>
      </c>
      <c r="L1104" s="13">
        <v>4.2099999999999999E-2</v>
      </c>
      <c r="M1104" s="13">
        <v>5.4600000000000003E-2</v>
      </c>
      <c r="N1104" s="13">
        <v>0.107</v>
      </c>
      <c r="O1104" s="13">
        <v>0.1179</v>
      </c>
      <c r="P1104" s="16"/>
      <c r="Q1104" s="16"/>
      <c r="R1104" s="16"/>
      <c r="S1104" s="16"/>
      <c r="T1104" s="18"/>
      <c r="U1104" s="1">
        <v>0</v>
      </c>
      <c r="V1104" s="1">
        <f t="shared" si="35"/>
        <v>0</v>
      </c>
      <c r="W1104" s="26"/>
      <c r="X1104">
        <v>0</v>
      </c>
      <c r="Y1104" s="1">
        <v>0</v>
      </c>
      <c r="Z1104" s="1">
        <v>0</v>
      </c>
      <c r="AA1104" s="1">
        <v>1926</v>
      </c>
      <c r="AB1104" s="1">
        <v>12</v>
      </c>
      <c r="AC1104" s="29">
        <v>661</v>
      </c>
    </row>
    <row r="1105" spans="1:29">
      <c r="A1105" s="12">
        <v>94</v>
      </c>
      <c r="B1105" s="12" t="s">
        <v>631</v>
      </c>
      <c r="C1105" s="12">
        <v>94884</v>
      </c>
      <c r="D1105" s="12" t="s">
        <v>159</v>
      </c>
      <c r="E1105" s="17">
        <v>0.97116644823066844</v>
      </c>
      <c r="F1105" s="17">
        <v>2.8833551769331587E-2</v>
      </c>
      <c r="G1105" s="13">
        <v>0.68893905191873595</v>
      </c>
      <c r="H1105" s="13">
        <v>32.93333333333333</v>
      </c>
      <c r="I1105" s="14">
        <v>7.3310603052186325</v>
      </c>
      <c r="J1105" s="16">
        <v>0.8397</v>
      </c>
      <c r="K1105" s="16">
        <v>0.8397</v>
      </c>
      <c r="L1105" s="13">
        <v>1.7899999999999999E-2</v>
      </c>
      <c r="M1105" s="13">
        <v>2.8299999999999999E-2</v>
      </c>
      <c r="N1105" s="13">
        <v>0.26600000000000001</v>
      </c>
      <c r="O1105" s="13">
        <v>0.253</v>
      </c>
      <c r="P1105" s="16"/>
      <c r="Q1105" s="16"/>
      <c r="R1105" s="16"/>
      <c r="S1105" s="16"/>
      <c r="T1105" s="18"/>
      <c r="U1105" s="1">
        <v>100</v>
      </c>
      <c r="V1105" s="1">
        <f t="shared" si="35"/>
        <v>4.6151205168412597</v>
      </c>
      <c r="W1105" s="25"/>
      <c r="X1105">
        <v>0</v>
      </c>
      <c r="Y1105" s="1">
        <v>0</v>
      </c>
      <c r="Z1105" s="1">
        <v>0</v>
      </c>
      <c r="AA1105" s="1">
        <v>1971</v>
      </c>
      <c r="AB1105" s="1">
        <v>10</v>
      </c>
      <c r="AC1105" s="29">
        <v>689</v>
      </c>
    </row>
    <row r="1106" spans="1:29">
      <c r="A1106" s="12">
        <v>94</v>
      </c>
      <c r="B1106" s="12" t="s">
        <v>631</v>
      </c>
      <c r="C1106" s="12">
        <v>94885</v>
      </c>
      <c r="D1106" s="12" t="s">
        <v>635</v>
      </c>
      <c r="E1106" s="17">
        <v>0.97860962566844922</v>
      </c>
      <c r="F1106" s="17">
        <v>2.1390374331550801E-2</v>
      </c>
      <c r="G1106" s="13">
        <v>0.55988023952095811</v>
      </c>
      <c r="H1106" s="13">
        <v>36.6</v>
      </c>
      <c r="I1106" s="14">
        <v>5.2364419628299492</v>
      </c>
      <c r="J1106" s="16">
        <v>0.78259999999999996</v>
      </c>
      <c r="K1106" s="16">
        <v>0.78259999999999996</v>
      </c>
      <c r="L1106" s="13">
        <v>0</v>
      </c>
      <c r="M1106" s="13">
        <v>1.09E-2</v>
      </c>
      <c r="N1106" s="13">
        <v>8.6999999999999994E-2</v>
      </c>
      <c r="O1106" s="13">
        <v>4.3499999999999997E-2</v>
      </c>
      <c r="P1106" s="16"/>
      <c r="Q1106" s="16"/>
      <c r="R1106" s="16"/>
      <c r="S1106" s="16"/>
      <c r="T1106" s="18"/>
      <c r="U1106" s="1">
        <v>0</v>
      </c>
      <c r="V1106" s="1">
        <f t="shared" si="35"/>
        <v>0</v>
      </c>
      <c r="W1106" s="26"/>
      <c r="X1106">
        <v>0</v>
      </c>
      <c r="Y1106" s="1">
        <v>0</v>
      </c>
      <c r="Z1106" s="1">
        <v>0</v>
      </c>
      <c r="AA1106" s="1">
        <v>319</v>
      </c>
      <c r="AB1106" s="1">
        <v>0</v>
      </c>
      <c r="AC1106" s="29">
        <v>83</v>
      </c>
    </row>
    <row r="1107" spans="1:29">
      <c r="A1107" s="12">
        <v>94</v>
      </c>
      <c r="B1107" s="12" t="s">
        <v>631</v>
      </c>
      <c r="C1107" s="12">
        <v>94886</v>
      </c>
      <c r="D1107" s="12" t="s">
        <v>633</v>
      </c>
      <c r="E1107" s="17">
        <v>0.97142857142857142</v>
      </c>
      <c r="F1107" s="17">
        <v>2.8571428571428571E-2</v>
      </c>
      <c r="G1107" s="13">
        <v>0.51980198019801982</v>
      </c>
      <c r="H1107" s="13">
        <v>31.875</v>
      </c>
      <c r="I1107" s="14">
        <v>6.2653012127377101</v>
      </c>
      <c r="J1107" s="16">
        <v>0.83850000000000002</v>
      </c>
      <c r="K1107" s="16">
        <v>0.83850000000000002</v>
      </c>
      <c r="L1107" s="13">
        <v>0</v>
      </c>
      <c r="M1107" s="13">
        <v>2.0299999999999999E-2</v>
      </c>
      <c r="N1107" s="13">
        <v>0.189</v>
      </c>
      <c r="O1107" s="13">
        <v>4.65E-2</v>
      </c>
      <c r="P1107" s="16"/>
      <c r="Q1107" s="16"/>
      <c r="R1107" s="16"/>
      <c r="S1107" s="16"/>
      <c r="T1107" s="18"/>
      <c r="U1107" s="1">
        <v>0</v>
      </c>
      <c r="V1107" s="1">
        <f t="shared" si="35"/>
        <v>0</v>
      </c>
      <c r="W1107" s="26"/>
      <c r="X1107">
        <v>0</v>
      </c>
      <c r="Y1107" s="1">
        <v>0</v>
      </c>
      <c r="Z1107" s="1">
        <v>0</v>
      </c>
      <c r="AA1107" s="1">
        <v>902</v>
      </c>
      <c r="AB1107" s="1">
        <v>10</v>
      </c>
      <c r="AC1107" s="29">
        <v>335</v>
      </c>
    </row>
    <row r="1108" spans="1:29">
      <c r="A1108" s="12">
        <v>94</v>
      </c>
      <c r="B1108" s="12" t="s">
        <v>631</v>
      </c>
      <c r="C1108" s="12">
        <v>94887</v>
      </c>
      <c r="D1108" s="12" t="s">
        <v>637</v>
      </c>
      <c r="E1108" s="17">
        <v>0.99039487726787623</v>
      </c>
      <c r="F1108" s="17">
        <v>9.6051227321237997E-3</v>
      </c>
      <c r="G1108" s="13">
        <v>0.403184165232358</v>
      </c>
      <c r="H1108" s="13">
        <v>92.8</v>
      </c>
      <c r="I1108" s="14">
        <v>6.8437499490062246</v>
      </c>
      <c r="J1108" s="16">
        <v>0.35899999999999999</v>
      </c>
      <c r="K1108" s="16">
        <v>0.35899999999999999</v>
      </c>
      <c r="L1108" s="13">
        <v>8.6E-3</v>
      </c>
      <c r="M1108" s="13">
        <v>3.2000000000000002E-3</v>
      </c>
      <c r="N1108" s="13">
        <v>7.5899999999999995E-2</v>
      </c>
      <c r="O1108" s="13">
        <v>6.0100000000000001E-2</v>
      </c>
      <c r="P1108" s="16"/>
      <c r="Q1108" s="16"/>
      <c r="R1108" s="16"/>
      <c r="S1108" s="16"/>
      <c r="T1108" s="18"/>
      <c r="U1108" s="1">
        <v>142.85714290000001</v>
      </c>
      <c r="V1108" s="1">
        <f t="shared" si="35"/>
        <v>4.9688207439611638</v>
      </c>
      <c r="W1108" s="26"/>
      <c r="X1108">
        <v>0</v>
      </c>
      <c r="Y1108" s="1">
        <v>0</v>
      </c>
      <c r="Z1108" s="1">
        <v>0</v>
      </c>
      <c r="AA1108" s="1">
        <v>2001</v>
      </c>
      <c r="AB1108" s="1">
        <v>7</v>
      </c>
      <c r="AC1108" s="29">
        <v>660</v>
      </c>
    </row>
    <row r="1109" spans="1:29">
      <c r="A1109" s="12">
        <v>94</v>
      </c>
      <c r="B1109" s="12" t="s">
        <v>631</v>
      </c>
      <c r="C1109" s="12">
        <v>94888</v>
      </c>
      <c r="D1109" s="12" t="s">
        <v>636</v>
      </c>
      <c r="E1109" s="17">
        <v>0.97810218978102192</v>
      </c>
      <c r="F1109" s="17">
        <v>2.1897810218978103E-2</v>
      </c>
      <c r="G1109" s="13">
        <v>0.65425023877745936</v>
      </c>
      <c r="H1109" s="13">
        <v>41.875</v>
      </c>
      <c r="I1109" s="14">
        <v>6.5308776277258849</v>
      </c>
      <c r="J1109" s="16">
        <v>0.4582</v>
      </c>
      <c r="K1109" s="16">
        <v>0.4582</v>
      </c>
      <c r="L1109" s="13">
        <v>0</v>
      </c>
      <c r="M1109" s="13">
        <v>0.1</v>
      </c>
      <c r="N1109" s="13">
        <v>0.16320000000000001</v>
      </c>
      <c r="O1109" s="13">
        <v>5.79E-2</v>
      </c>
      <c r="P1109" s="16"/>
      <c r="Q1109" s="16"/>
      <c r="R1109" s="16"/>
      <c r="S1109" s="16"/>
      <c r="T1109" s="18"/>
      <c r="U1109" s="1">
        <v>0</v>
      </c>
      <c r="V1109" s="1">
        <f t="shared" si="35"/>
        <v>0</v>
      </c>
      <c r="W1109" s="25"/>
      <c r="X1109">
        <v>0</v>
      </c>
      <c r="Y1109" s="1">
        <v>0</v>
      </c>
      <c r="Z1109" s="1">
        <v>0</v>
      </c>
      <c r="AA1109" s="1">
        <v>1052</v>
      </c>
      <c r="AB1109" s="1">
        <v>2</v>
      </c>
      <c r="AC1109" s="29">
        <v>354</v>
      </c>
    </row>
    <row r="1110" spans="1:29" ht="25.5">
      <c r="A1110" s="12">
        <v>95</v>
      </c>
      <c r="B1110" s="12" t="s">
        <v>639</v>
      </c>
      <c r="C1110" s="12">
        <v>95001</v>
      </c>
      <c r="D1110" s="12" t="s">
        <v>641</v>
      </c>
      <c r="E1110" s="17">
        <v>0.74788354325831097</v>
      </c>
      <c r="F1110" s="17">
        <v>0.25211645674168903</v>
      </c>
      <c r="G1110" s="13">
        <v>1</v>
      </c>
      <c r="H1110" s="13">
        <v>2.9662474407721557</v>
      </c>
      <c r="I1110" s="14">
        <v>11.124361720737193</v>
      </c>
      <c r="J1110" s="16">
        <v>0.87509999999999999</v>
      </c>
      <c r="K1110" s="16">
        <v>0.87429999999999997</v>
      </c>
      <c r="L1110" s="13">
        <v>0.3921</v>
      </c>
      <c r="M1110" s="13">
        <v>5.0200000000000002E-2</v>
      </c>
      <c r="N1110" s="13">
        <v>0.11509999999999999</v>
      </c>
      <c r="O1110" s="13">
        <v>7.6499999999999999E-2</v>
      </c>
      <c r="P1110" s="16">
        <v>0.34700000000000003</v>
      </c>
      <c r="Q1110" s="16">
        <v>0.34689999999999999</v>
      </c>
      <c r="R1110" s="16"/>
      <c r="S1110" s="16">
        <f t="shared" ref="S1110:S1115" si="36">+(P1110+Q1110+R1110)/3</f>
        <v>0.23129999999999998</v>
      </c>
      <c r="T1110" s="18">
        <v>0.90668348045397196</v>
      </c>
      <c r="U1110" s="1">
        <v>8.9399744569999999</v>
      </c>
      <c r="V1110" s="1">
        <f t="shared" si="35"/>
        <v>2.296564450946871</v>
      </c>
      <c r="W1110" s="26"/>
      <c r="X1110">
        <v>0.11840000000000001</v>
      </c>
      <c r="Y1110" s="1">
        <v>1.0999999999999999E-2</v>
      </c>
      <c r="Z1110" s="1">
        <v>1.09E-2</v>
      </c>
      <c r="AA1110" s="1">
        <v>54315</v>
      </c>
      <c r="AB1110" s="1">
        <v>783</v>
      </c>
      <c r="AC1110" s="29">
        <v>12333</v>
      </c>
    </row>
    <row r="1111" spans="1:29">
      <c r="A1111" s="12">
        <v>95</v>
      </c>
      <c r="B1111" s="12" t="s">
        <v>639</v>
      </c>
      <c r="C1111" s="12">
        <v>95015</v>
      </c>
      <c r="D1111" s="12" t="s">
        <v>176</v>
      </c>
      <c r="E1111" s="17">
        <v>0.89464776814046965</v>
      </c>
      <c r="F1111" s="17">
        <v>0.10535223185953035</v>
      </c>
      <c r="G1111" s="13">
        <v>0.81373730418316403</v>
      </c>
      <c r="H1111" s="13">
        <v>8.4834503510531594</v>
      </c>
      <c r="I1111" s="14">
        <v>9.1542989810925572</v>
      </c>
      <c r="J1111" s="16">
        <v>0.78690000000000004</v>
      </c>
      <c r="K1111" s="16">
        <v>0.78690000000000004</v>
      </c>
      <c r="L1111" s="13">
        <v>0.30349999999999999</v>
      </c>
      <c r="M1111" s="13">
        <v>2.6700000000000002E-2</v>
      </c>
      <c r="N1111" s="13">
        <v>9.69E-2</v>
      </c>
      <c r="O1111" s="13">
        <v>0.1007</v>
      </c>
      <c r="P1111" s="16">
        <v>0.52539999999999998</v>
      </c>
      <c r="Q1111" s="16">
        <v>0.50690000000000002</v>
      </c>
      <c r="R1111" s="16">
        <v>0.50690000000000002</v>
      </c>
      <c r="S1111" s="16">
        <f t="shared" si="36"/>
        <v>0.51306666666666667</v>
      </c>
      <c r="T1111" s="18">
        <v>0.24396782841823</v>
      </c>
      <c r="U1111" s="1">
        <v>0</v>
      </c>
      <c r="V1111" s="1">
        <f t="shared" si="35"/>
        <v>0</v>
      </c>
      <c r="W1111" s="25"/>
      <c r="X1111">
        <v>7.7299999999999994E-2</v>
      </c>
      <c r="Y1111" s="1">
        <v>2.3999999999999998E-3</v>
      </c>
      <c r="Z1111" s="1">
        <v>2.3999999999999998E-3</v>
      </c>
      <c r="AA1111" s="1">
        <v>9862</v>
      </c>
      <c r="AB1111" s="1">
        <v>84</v>
      </c>
      <c r="AC1111" s="29">
        <v>2158</v>
      </c>
    </row>
    <row r="1112" spans="1:29">
      <c r="A1112" s="12">
        <v>95</v>
      </c>
      <c r="B1112" s="12" t="s">
        <v>639</v>
      </c>
      <c r="C1112" s="12">
        <v>95025</v>
      </c>
      <c r="D1112" s="12" t="s">
        <v>640</v>
      </c>
      <c r="E1112" s="17">
        <v>0.89966530308664927</v>
      </c>
      <c r="F1112" s="17">
        <v>0.10033469691335069</v>
      </c>
      <c r="G1112" s="13">
        <v>0.76925277491703858</v>
      </c>
      <c r="H1112" s="13">
        <v>8.9600000000000009</v>
      </c>
      <c r="I1112" s="14">
        <v>9.5064369430289819</v>
      </c>
      <c r="J1112" s="16">
        <v>0.5071</v>
      </c>
      <c r="K1112" s="16">
        <v>0.5071</v>
      </c>
      <c r="L1112" s="13">
        <v>0.18640000000000001</v>
      </c>
      <c r="M1112" s="13">
        <v>5.3199999999999997E-2</v>
      </c>
      <c r="N1112" s="13">
        <v>9.6000000000000002E-2</v>
      </c>
      <c r="O1112" s="13">
        <v>7.1300000000000002E-2</v>
      </c>
      <c r="P1112" s="16">
        <v>0.94359999999999999</v>
      </c>
      <c r="Q1112" s="16">
        <v>0.60630000000000006</v>
      </c>
      <c r="R1112" s="16">
        <v>0.7720999999999999</v>
      </c>
      <c r="S1112" s="16">
        <f t="shared" si="36"/>
        <v>0.77400000000000002</v>
      </c>
      <c r="T1112" s="18">
        <v>0.75674108437228105</v>
      </c>
      <c r="U1112" s="1">
        <v>0</v>
      </c>
      <c r="V1112" s="1">
        <f t="shared" si="35"/>
        <v>0</v>
      </c>
      <c r="W1112" s="26"/>
      <c r="X1112">
        <v>5.3800000000000001E-2</v>
      </c>
      <c r="Y1112" s="1">
        <v>1.4E-3</v>
      </c>
      <c r="Z1112" s="1">
        <v>1.4E-3</v>
      </c>
      <c r="AA1112" s="1">
        <v>13324</v>
      </c>
      <c r="AB1112" s="1">
        <v>101</v>
      </c>
      <c r="AC1112" s="29">
        <v>3457</v>
      </c>
    </row>
    <row r="1113" spans="1:29">
      <c r="A1113" s="12">
        <v>95</v>
      </c>
      <c r="B1113" s="12" t="s">
        <v>639</v>
      </c>
      <c r="C1113" s="12">
        <v>95200</v>
      </c>
      <c r="D1113" s="12" t="s">
        <v>264</v>
      </c>
      <c r="E1113" s="17">
        <v>0.91368788142981694</v>
      </c>
      <c r="F1113" s="17">
        <v>8.6312118570183088E-2</v>
      </c>
      <c r="G1113" s="13">
        <v>0.55999023556694738</v>
      </c>
      <c r="H1113" s="13">
        <v>10.55919395465995</v>
      </c>
      <c r="I1113" s="14">
        <v>8.4314174143948328</v>
      </c>
      <c r="J1113" s="16">
        <v>0.2787</v>
      </c>
      <c r="K1113" s="16">
        <v>0.2787</v>
      </c>
      <c r="L1113" s="13">
        <v>0.10249999999999999</v>
      </c>
      <c r="M1113" s="13">
        <v>5.74E-2</v>
      </c>
      <c r="N1113" s="13">
        <v>0.14499999999999999</v>
      </c>
      <c r="O1113" s="13">
        <v>0.1239</v>
      </c>
      <c r="P1113" s="16">
        <v>0.9849</v>
      </c>
      <c r="Q1113" s="16">
        <v>0.9849</v>
      </c>
      <c r="R1113" s="16">
        <v>0.9849</v>
      </c>
      <c r="S1113" s="16">
        <f t="shared" si="36"/>
        <v>0.9849</v>
      </c>
      <c r="T1113" s="18">
        <v>0.506059339740911</v>
      </c>
      <c r="U1113" s="1">
        <v>0</v>
      </c>
      <c r="V1113" s="1">
        <f t="shared" si="35"/>
        <v>0</v>
      </c>
      <c r="W1113" s="25"/>
      <c r="X1113">
        <v>2.7900000000000001E-2</v>
      </c>
      <c r="Y1113" s="1">
        <v>5.0000000000000001E-4</v>
      </c>
      <c r="Z1113" s="1">
        <v>5.0000000000000001E-4</v>
      </c>
      <c r="AA1113" s="1">
        <v>7049</v>
      </c>
      <c r="AB1113" s="1">
        <v>24</v>
      </c>
      <c r="AC1113" s="29">
        <v>1789</v>
      </c>
    </row>
    <row r="1114" spans="1:29">
      <c r="A1114" s="12">
        <v>97</v>
      </c>
      <c r="B1114" s="12" t="s">
        <v>1048</v>
      </c>
      <c r="C1114" s="12">
        <v>97001</v>
      </c>
      <c r="D1114" s="12" t="s">
        <v>1050</v>
      </c>
      <c r="E1114" s="17">
        <v>0.83233803208110546</v>
      </c>
      <c r="F1114" s="17">
        <v>0.16766196791889451</v>
      </c>
      <c r="G1114" s="13">
        <v>0.82560339391159776</v>
      </c>
      <c r="H1114" s="13">
        <v>4.9633540372670808</v>
      </c>
      <c r="I1114" s="14">
        <v>10.268234827365733</v>
      </c>
      <c r="J1114" s="16">
        <v>0.57779999999999998</v>
      </c>
      <c r="K1114" s="16">
        <v>0.57779999999999998</v>
      </c>
      <c r="L1114" s="13">
        <v>0.1726</v>
      </c>
      <c r="M1114" s="13">
        <v>5.0599999999999999E-2</v>
      </c>
      <c r="N1114" s="13">
        <v>0.1575</v>
      </c>
      <c r="O1114" s="13">
        <v>8.8099999999999998E-2</v>
      </c>
      <c r="P1114" s="16">
        <v>1</v>
      </c>
      <c r="Q1114" s="16">
        <v>1</v>
      </c>
      <c r="R1114" s="16"/>
      <c r="S1114" s="16">
        <f t="shared" si="36"/>
        <v>0.66666666666666663</v>
      </c>
      <c r="T1114" s="18">
        <v>1</v>
      </c>
      <c r="U1114" s="1">
        <v>26.905829600000001</v>
      </c>
      <c r="V1114" s="1">
        <f t="shared" si="35"/>
        <v>3.3288356132376546</v>
      </c>
      <c r="W1114" s="26"/>
      <c r="X1114">
        <v>8.0299999999999996E-2</v>
      </c>
      <c r="Y1114" s="1">
        <v>1.9E-3</v>
      </c>
      <c r="Z1114" s="1">
        <v>1.9E-3</v>
      </c>
      <c r="AA1114" s="1">
        <v>31810</v>
      </c>
      <c r="AB1114" s="1">
        <v>446</v>
      </c>
      <c r="AC1114" s="29">
        <v>10917</v>
      </c>
    </row>
    <row r="1115" spans="1:29">
      <c r="A1115" s="12">
        <v>97</v>
      </c>
      <c r="B1115" s="12" t="s">
        <v>1048</v>
      </c>
      <c r="C1115" s="12">
        <v>97161</v>
      </c>
      <c r="D1115" s="12" t="s">
        <v>1049</v>
      </c>
      <c r="E1115" s="17">
        <v>0.91014492753623188</v>
      </c>
      <c r="F1115" s="17">
        <v>8.9855072463768115E-2</v>
      </c>
      <c r="G1115" s="13">
        <v>0.67083333333333328</v>
      </c>
      <c r="H1115" s="13">
        <v>10.082568807339449</v>
      </c>
      <c r="I1115" s="14">
        <v>7.7898685590547059</v>
      </c>
      <c r="J1115" s="16">
        <v>0.47470000000000001</v>
      </c>
      <c r="K1115" s="16">
        <v>0.47470000000000001</v>
      </c>
      <c r="L1115" s="13">
        <v>0.1275</v>
      </c>
      <c r="M1115" s="13">
        <v>3.5400000000000001E-2</v>
      </c>
      <c r="N1115" s="13">
        <v>0.1318</v>
      </c>
      <c r="O1115" s="13">
        <v>2.2499999999999999E-2</v>
      </c>
      <c r="P1115" s="16">
        <v>0.95950000000000002</v>
      </c>
      <c r="Q1115" s="16">
        <v>0.95950000000000002</v>
      </c>
      <c r="R1115" s="16">
        <v>0.97689999999999999</v>
      </c>
      <c r="S1115" s="16">
        <f t="shared" si="36"/>
        <v>0.96530000000000005</v>
      </c>
      <c r="T1115" s="18">
        <v>0.65718799368088399</v>
      </c>
      <c r="U1115" s="1">
        <v>0</v>
      </c>
      <c r="V1115" s="1">
        <f t="shared" si="35"/>
        <v>0</v>
      </c>
      <c r="W1115" s="25"/>
      <c r="X1115">
        <v>3.3300000000000003E-2</v>
      </c>
      <c r="Y1115" s="1">
        <v>4.0000000000000002E-4</v>
      </c>
      <c r="Z1115" s="1">
        <v>4.0000000000000002E-4</v>
      </c>
      <c r="AA1115" s="1">
        <v>3025</v>
      </c>
      <c r="AB1115" s="1">
        <v>32</v>
      </c>
      <c r="AC1115" s="29">
        <v>1095</v>
      </c>
    </row>
    <row r="1116" spans="1:29">
      <c r="A1116" s="12">
        <v>97</v>
      </c>
      <c r="B1116" s="12" t="s">
        <v>1048</v>
      </c>
      <c r="C1116" s="12">
        <v>97511</v>
      </c>
      <c r="D1116" s="12" t="s">
        <v>1051</v>
      </c>
      <c r="E1116" s="17">
        <v>0.97785977859778594</v>
      </c>
      <c r="F1116" s="17">
        <v>2.2140221402214021E-2</v>
      </c>
      <c r="G1116" s="13">
        <v>5.6352672073196088E-2</v>
      </c>
      <c r="H1116" s="13">
        <v>37.857142857142854</v>
      </c>
      <c r="I1116" s="14">
        <v>5.6058020662959978</v>
      </c>
      <c r="J1116" s="16">
        <v>0.54800000000000004</v>
      </c>
      <c r="K1116" s="16">
        <v>0.54800000000000004</v>
      </c>
      <c r="L1116" s="13">
        <v>5.2499999999999998E-2</v>
      </c>
      <c r="M1116" s="13">
        <v>7.8299999999999995E-2</v>
      </c>
      <c r="N1116" s="13">
        <v>0.18290000000000001</v>
      </c>
      <c r="O1116" s="13">
        <v>2.2200000000000001E-2</v>
      </c>
      <c r="P1116" s="16"/>
      <c r="Q1116" s="16"/>
      <c r="R1116" s="16"/>
      <c r="S1116" s="16"/>
      <c r="T1116" s="18"/>
      <c r="U1116" s="1">
        <v>45.454545449999998</v>
      </c>
      <c r="V1116" s="1">
        <f t="shared" si="35"/>
        <v>3.8384743173074867</v>
      </c>
      <c r="W1116" s="25"/>
      <c r="X1116">
        <v>0</v>
      </c>
      <c r="Y1116" s="1">
        <v>0</v>
      </c>
      <c r="Z1116" s="1">
        <v>0</v>
      </c>
      <c r="AA1116" s="1">
        <v>4255</v>
      </c>
      <c r="AB1116" s="1">
        <v>22</v>
      </c>
      <c r="AC1116" s="29">
        <v>1729</v>
      </c>
    </row>
    <row r="1117" spans="1:29">
      <c r="A1117" s="12">
        <v>97</v>
      </c>
      <c r="B1117" s="12" t="s">
        <v>1048</v>
      </c>
      <c r="C1117" s="12">
        <v>97666</v>
      </c>
      <c r="D1117" s="12" t="s">
        <v>1053</v>
      </c>
      <c r="E1117" s="17">
        <v>0.91202185792349721</v>
      </c>
      <c r="F1117" s="17">
        <v>8.797814207650273E-2</v>
      </c>
      <c r="G1117" s="13">
        <v>0.70168711656441718</v>
      </c>
      <c r="H1117" s="13">
        <v>10.302469135802468</v>
      </c>
      <c r="I1117" s="14">
        <v>7.5126175446745105</v>
      </c>
      <c r="J1117" s="16">
        <v>0.19950000000000001</v>
      </c>
      <c r="K1117" s="16">
        <v>0.19950000000000001</v>
      </c>
      <c r="L1117" s="13">
        <v>0</v>
      </c>
      <c r="M1117" s="13">
        <v>0</v>
      </c>
      <c r="N1117" s="13">
        <v>0.3473</v>
      </c>
      <c r="O1117" s="13">
        <v>0</v>
      </c>
      <c r="P1117" s="16">
        <v>0.95480000000000009</v>
      </c>
      <c r="Q1117" s="16">
        <v>0.95480000000000009</v>
      </c>
      <c r="R1117" s="16">
        <v>0.95480000000000009</v>
      </c>
      <c r="S1117" s="16">
        <f>+(P1117+Q1117+R1117)/3</f>
        <v>0.95480000000000009</v>
      </c>
      <c r="T1117" s="18">
        <v>0.65016501650164993</v>
      </c>
      <c r="U1117" s="1">
        <v>0</v>
      </c>
      <c r="V1117" s="1">
        <f t="shared" si="35"/>
        <v>0</v>
      </c>
      <c r="W1117" s="25"/>
      <c r="X1117">
        <v>4.8500000000000001E-2</v>
      </c>
      <c r="Y1117" s="1">
        <v>0</v>
      </c>
      <c r="Z1117" s="1">
        <v>0</v>
      </c>
      <c r="AA1117" s="1">
        <v>2831</v>
      </c>
      <c r="AB1117" s="1">
        <v>24</v>
      </c>
      <c r="AC1117" s="29">
        <v>989</v>
      </c>
    </row>
    <row r="1118" spans="1:29">
      <c r="A1118" s="12">
        <v>97</v>
      </c>
      <c r="B1118" s="12" t="s">
        <v>1048</v>
      </c>
      <c r="C1118" s="12">
        <v>97777</v>
      </c>
      <c r="D1118" s="12" t="s">
        <v>1052</v>
      </c>
      <c r="E1118" s="17">
        <v>0.98181818181818181</v>
      </c>
      <c r="F1118" s="17">
        <v>1.8181818181818181E-2</v>
      </c>
      <c r="G1118" s="13">
        <v>6.6666666666666666E-2</v>
      </c>
      <c r="H1118" s="13">
        <v>27</v>
      </c>
      <c r="I1118" s="14">
        <v>4.0253516907351496</v>
      </c>
      <c r="J1118" s="16">
        <v>0</v>
      </c>
      <c r="K1118" s="16">
        <v>0</v>
      </c>
      <c r="L1118" s="13">
        <v>0</v>
      </c>
      <c r="M1118" s="13">
        <v>0</v>
      </c>
      <c r="N1118" s="13">
        <v>0</v>
      </c>
      <c r="O1118" s="13">
        <v>0</v>
      </c>
      <c r="P1118" s="16"/>
      <c r="Q1118" s="16"/>
      <c r="R1118" s="16"/>
      <c r="S1118" s="16"/>
      <c r="T1118" s="18"/>
      <c r="U1118" s="1">
        <v>0</v>
      </c>
      <c r="V1118" s="1">
        <f t="shared" si="35"/>
        <v>0</v>
      </c>
      <c r="W1118" s="26"/>
      <c r="X1118">
        <v>0</v>
      </c>
      <c r="Y1118" s="1">
        <v>0</v>
      </c>
      <c r="Z1118" s="1">
        <v>0</v>
      </c>
      <c r="AA1118" s="1">
        <v>768</v>
      </c>
      <c r="AB1118" s="1">
        <v>6</v>
      </c>
      <c r="AC1118" s="29">
        <v>198</v>
      </c>
    </row>
    <row r="1119" spans="1:29">
      <c r="A1119" s="12">
        <v>97</v>
      </c>
      <c r="B1119" s="12" t="s">
        <v>1048</v>
      </c>
      <c r="C1119" s="12">
        <v>97889</v>
      </c>
      <c r="D1119" s="12" t="s">
        <v>1054</v>
      </c>
      <c r="E1119" s="17">
        <v>0.92741935483870963</v>
      </c>
      <c r="F1119" s="17">
        <v>7.2580645161290328E-2</v>
      </c>
      <c r="G1119" s="13">
        <v>0.10056772100567721</v>
      </c>
      <c r="H1119" s="13">
        <v>11.5</v>
      </c>
      <c r="I1119" s="14">
        <v>4.8283137373023015</v>
      </c>
      <c r="J1119" s="16">
        <v>0.46260000000000001</v>
      </c>
      <c r="K1119" s="16">
        <v>0.46260000000000001</v>
      </c>
      <c r="L1119" s="13">
        <v>0.15959999999999999</v>
      </c>
      <c r="M1119" s="13">
        <v>8.3900000000000002E-2</v>
      </c>
      <c r="N1119" s="13">
        <v>7.6899999999999996E-2</v>
      </c>
      <c r="O1119" s="13">
        <v>8.7400000000000005E-2</v>
      </c>
      <c r="P1119" s="16"/>
      <c r="Q1119" s="16"/>
      <c r="R1119" s="16"/>
      <c r="S1119" s="16"/>
      <c r="T1119" s="18"/>
      <c r="U1119" s="1">
        <v>0</v>
      </c>
      <c r="V1119" s="1">
        <f t="shared" si="35"/>
        <v>0</v>
      </c>
      <c r="W1119" s="26"/>
      <c r="X1119">
        <v>0</v>
      </c>
      <c r="Y1119" s="1">
        <v>0</v>
      </c>
      <c r="Z1119" s="1">
        <v>0</v>
      </c>
      <c r="AA1119" s="1">
        <v>1086</v>
      </c>
      <c r="AB1119" s="1">
        <v>15</v>
      </c>
      <c r="AC1119" s="29">
        <v>501</v>
      </c>
    </row>
    <row r="1120" spans="1:29">
      <c r="A1120" s="12">
        <v>99</v>
      </c>
      <c r="B1120" s="12" t="s">
        <v>1055</v>
      </c>
      <c r="C1120" s="12">
        <v>99001</v>
      </c>
      <c r="D1120" s="12" t="s">
        <v>1058</v>
      </c>
      <c r="E1120" s="17">
        <v>0.78440751669513897</v>
      </c>
      <c r="F1120" s="17">
        <v>0.21553036185743127</v>
      </c>
      <c r="G1120" s="13">
        <v>1</v>
      </c>
      <c r="H1120" s="13">
        <v>3.6389048991354467</v>
      </c>
      <c r="I1120" s="14">
        <v>10.379597500213624</v>
      </c>
      <c r="J1120" s="16">
        <v>1.4835</v>
      </c>
      <c r="K1120" s="16">
        <v>1.4817</v>
      </c>
      <c r="L1120" s="13">
        <v>0.29099999999999998</v>
      </c>
      <c r="M1120" s="13">
        <v>8.4500000000000006E-2</v>
      </c>
      <c r="N1120" s="13">
        <v>0.12720000000000001</v>
      </c>
      <c r="O1120" s="13">
        <v>0.1008</v>
      </c>
      <c r="P1120" s="16">
        <v>0.66720000000000002</v>
      </c>
      <c r="Q1120" s="16">
        <v>0</v>
      </c>
      <c r="R1120" s="16"/>
      <c r="S1120" s="16">
        <f>+(P1120+Q1120+R1120)/3</f>
        <v>0.22240000000000001</v>
      </c>
      <c r="T1120" s="18">
        <v>0.86567926455566901</v>
      </c>
      <c r="U1120" s="1">
        <v>11.65501166</v>
      </c>
      <c r="V1120" s="1">
        <f t="shared" si="35"/>
        <v>2.5380533153716134</v>
      </c>
      <c r="W1120" s="25"/>
      <c r="X1120">
        <v>0.25850000000000001</v>
      </c>
      <c r="Y1120" s="1">
        <v>1.5599999999999999E-2</v>
      </c>
      <c r="Z1120" s="1">
        <v>1.55E-2</v>
      </c>
      <c r="AA1120" s="1">
        <v>23959</v>
      </c>
      <c r="AB1120" s="1">
        <v>429</v>
      </c>
      <c r="AC1120" s="29">
        <v>5552</v>
      </c>
    </row>
    <row r="1121" spans="1:29">
      <c r="A1121" s="12">
        <v>99</v>
      </c>
      <c r="B1121" s="12" t="s">
        <v>1055</v>
      </c>
      <c r="C1121" s="12">
        <v>99524</v>
      </c>
      <c r="D1121" s="12" t="s">
        <v>1057</v>
      </c>
      <c r="E1121" s="17">
        <v>0.80725210169148187</v>
      </c>
      <c r="F1121" s="17">
        <v>0.19274789830851818</v>
      </c>
      <c r="G1121" s="13">
        <v>0.8811244979919679</v>
      </c>
      <c r="H1121" s="13">
        <v>4.1859243697478989</v>
      </c>
      <c r="I1121" s="14">
        <v>9.1976603188188086</v>
      </c>
      <c r="J1121" s="16">
        <v>0.90959999999999996</v>
      </c>
      <c r="K1121" s="16">
        <v>0.90959999999999996</v>
      </c>
      <c r="L1121" s="13">
        <v>0.31330000000000002</v>
      </c>
      <c r="M1121" s="13">
        <v>5.16E-2</v>
      </c>
      <c r="N1121" s="13">
        <v>0.13150000000000001</v>
      </c>
      <c r="O1121" s="13">
        <v>8.8300000000000003E-2</v>
      </c>
      <c r="P1121" s="16">
        <v>0.29510000000000003</v>
      </c>
      <c r="Q1121" s="16">
        <v>0</v>
      </c>
      <c r="R1121" s="16">
        <v>0.24429999999999999</v>
      </c>
      <c r="S1121" s="16">
        <f>+(P1121+Q1121+R1121)/3</f>
        <v>0.17979999999999999</v>
      </c>
      <c r="T1121" s="18">
        <v>1</v>
      </c>
      <c r="U1121" s="1">
        <v>11.627906980000001</v>
      </c>
      <c r="V1121" s="1">
        <f t="shared" si="35"/>
        <v>2.5359092044981999</v>
      </c>
      <c r="W1121" s="26"/>
      <c r="X1121">
        <v>5.3199999999999997E-2</v>
      </c>
      <c r="Y1121" s="1">
        <v>8.9999999999999998E-4</v>
      </c>
      <c r="Z1121" s="1">
        <v>8.9999999999999998E-4</v>
      </c>
      <c r="AA1121" s="1">
        <v>10603</v>
      </c>
      <c r="AB1121" s="1">
        <v>86</v>
      </c>
      <c r="AC1121" s="29">
        <v>2778</v>
      </c>
    </row>
    <row r="1122" spans="1:29">
      <c r="A1122" s="12">
        <v>99</v>
      </c>
      <c r="B1122" s="12" t="s">
        <v>1055</v>
      </c>
      <c r="C1122" s="12">
        <v>99624</v>
      </c>
      <c r="D1122" s="12" t="s">
        <v>1059</v>
      </c>
      <c r="E1122" s="17">
        <v>0.73203260064213382</v>
      </c>
      <c r="F1122" s="17">
        <v>0.26796739935786612</v>
      </c>
      <c r="G1122" s="13">
        <v>0.8726293103448276</v>
      </c>
      <c r="H1122" s="13">
        <v>2.729281767955801</v>
      </c>
      <c r="I1122" s="14">
        <v>8.3064721601005846</v>
      </c>
      <c r="J1122" s="16">
        <v>0.81420000000000003</v>
      </c>
      <c r="K1122" s="16">
        <v>0.81420000000000003</v>
      </c>
      <c r="L1122" s="13">
        <v>0.22450000000000001</v>
      </c>
      <c r="M1122" s="13">
        <v>6.3E-2</v>
      </c>
      <c r="N1122" s="13">
        <v>0.13170000000000001</v>
      </c>
      <c r="O1122" s="13">
        <v>7.6300000000000007E-2</v>
      </c>
      <c r="P1122" s="16">
        <v>0</v>
      </c>
      <c r="Q1122" s="16">
        <v>0</v>
      </c>
      <c r="R1122" s="16">
        <v>0</v>
      </c>
      <c r="S1122" s="16">
        <f>+(P1122+Q1122+R1122)/3</f>
        <v>0</v>
      </c>
      <c r="T1122" s="18">
        <v>0.13721804511278099</v>
      </c>
      <c r="U1122" s="1">
        <v>24.390243900000002</v>
      </c>
      <c r="V1122" s="1">
        <f t="shared" si="35"/>
        <v>3.2343650018145995</v>
      </c>
      <c r="W1122" s="26"/>
      <c r="X1122">
        <v>0.1234</v>
      </c>
      <c r="Y1122" s="1">
        <v>3.5000000000000001E-3</v>
      </c>
      <c r="Z1122" s="1">
        <v>3.5000000000000001E-3</v>
      </c>
      <c r="AA1122" s="1">
        <v>4170</v>
      </c>
      <c r="AB1122" s="1">
        <v>41</v>
      </c>
      <c r="AC1122" s="29">
        <v>1118</v>
      </c>
    </row>
    <row r="1123" spans="1:29">
      <c r="A1123" s="12">
        <v>99</v>
      </c>
      <c r="B1123" s="12" t="s">
        <v>1055</v>
      </c>
      <c r="C1123" s="12">
        <v>99773</v>
      </c>
      <c r="D1123" s="12" t="s">
        <v>1056</v>
      </c>
      <c r="E1123" s="17">
        <v>0.94119019341703425</v>
      </c>
      <c r="F1123" s="17">
        <v>5.880980658296573E-2</v>
      </c>
      <c r="G1123" s="13">
        <v>0.54186490151462918</v>
      </c>
      <c r="H1123" s="13">
        <v>15.998197548666186</v>
      </c>
      <c r="I1123" s="14">
        <v>10.761152912760734</v>
      </c>
      <c r="J1123" s="16">
        <v>0.50700000000000001</v>
      </c>
      <c r="K1123" s="16">
        <v>0.50700000000000001</v>
      </c>
      <c r="L1123" s="13">
        <v>3.85E-2</v>
      </c>
      <c r="M1123" s="13">
        <v>5.5E-2</v>
      </c>
      <c r="N1123" s="13">
        <v>0.2014</v>
      </c>
      <c r="O1123" s="13">
        <v>0.1522</v>
      </c>
      <c r="P1123" s="16">
        <v>0.76170000000000004</v>
      </c>
      <c r="Q1123" s="16">
        <v>0.41299999999999998</v>
      </c>
      <c r="R1123" s="16">
        <v>0.77280000000000004</v>
      </c>
      <c r="S1123" s="16">
        <f>+(P1123+Q1123+R1123)/3</f>
        <v>0.64916666666666678</v>
      </c>
      <c r="T1123" s="18">
        <v>0.10944535678338699</v>
      </c>
      <c r="U1123" s="1">
        <v>26.993865029999998</v>
      </c>
      <c r="V1123" s="1">
        <f t="shared" si="35"/>
        <v>3.3319853800965333</v>
      </c>
      <c r="W1123" s="25"/>
      <c r="X1123">
        <v>1.2999999999999999E-2</v>
      </c>
      <c r="Y1123" s="1">
        <v>5.9999999999999995E-4</v>
      </c>
      <c r="Z1123" s="1">
        <v>5.9999999999999995E-4</v>
      </c>
      <c r="AA1123" s="1">
        <v>104385</v>
      </c>
      <c r="AB1123" s="1">
        <v>815</v>
      </c>
      <c r="AC1123" s="29">
        <v>32348</v>
      </c>
    </row>
  </sheetData>
  <sortState xmlns:xlrd2="http://schemas.microsoft.com/office/spreadsheetml/2017/richdata2" ref="A2:AA1123">
    <sortCondition ref="C2:C11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2C5C-0A69-4C19-8380-7C773171A8D9}">
  <dimension ref="A1:F16"/>
  <sheetViews>
    <sheetView topLeftCell="A8" workbookViewId="0">
      <selection activeCell="F4" sqref="F4"/>
    </sheetView>
  </sheetViews>
  <sheetFormatPr baseColWidth="10" defaultRowHeight="15"/>
  <cols>
    <col min="1" max="1" width="15.5703125" customWidth="1"/>
    <col min="2" max="2" width="24.5703125" customWidth="1"/>
    <col min="3" max="3" width="14.7109375" customWidth="1"/>
    <col min="4" max="4" width="24.5703125" customWidth="1"/>
    <col min="5" max="5" width="34" customWidth="1"/>
    <col min="6" max="6" width="52" customWidth="1"/>
  </cols>
  <sheetData>
    <row r="1" spans="1:6" ht="30">
      <c r="A1" s="2" t="s">
        <v>1075</v>
      </c>
      <c r="B1" s="2" t="s">
        <v>1076</v>
      </c>
      <c r="C1" s="2" t="s">
        <v>1077</v>
      </c>
      <c r="D1" s="2" t="s">
        <v>1078</v>
      </c>
      <c r="E1" s="2" t="s">
        <v>1079</v>
      </c>
      <c r="F1" s="2" t="s">
        <v>1080</v>
      </c>
    </row>
    <row r="2" spans="1:6" ht="30">
      <c r="A2" s="3" t="s">
        <v>1061</v>
      </c>
      <c r="B2" s="4" t="s">
        <v>1081</v>
      </c>
      <c r="C2" s="4" t="s">
        <v>1082</v>
      </c>
      <c r="D2" s="4" t="s">
        <v>1083</v>
      </c>
      <c r="E2" s="4" t="s">
        <v>1084</v>
      </c>
      <c r="F2" s="4" t="s">
        <v>1085</v>
      </c>
    </row>
    <row r="3" spans="1:6" ht="30">
      <c r="A3" s="3" t="s">
        <v>1063</v>
      </c>
      <c r="B3" s="4" t="s">
        <v>1086</v>
      </c>
      <c r="C3" s="4" t="s">
        <v>1082</v>
      </c>
      <c r="D3" s="4" t="s">
        <v>1087</v>
      </c>
      <c r="E3" s="4" t="s">
        <v>1088</v>
      </c>
      <c r="F3" s="4" t="s">
        <v>1089</v>
      </c>
    </row>
    <row r="4" spans="1:6" ht="30">
      <c r="A4" s="3" t="s">
        <v>1060</v>
      </c>
      <c r="B4" s="4" t="s">
        <v>1090</v>
      </c>
      <c r="C4" s="4" t="s">
        <v>1091</v>
      </c>
      <c r="D4" s="4" t="s">
        <v>1092</v>
      </c>
      <c r="E4" s="4" t="s">
        <v>1093</v>
      </c>
      <c r="F4" s="4" t="s">
        <v>1094</v>
      </c>
    </row>
    <row r="5" spans="1:6">
      <c r="A5" s="3" t="s">
        <v>1062</v>
      </c>
      <c r="B5" s="4" t="s">
        <v>1086</v>
      </c>
      <c r="C5" s="4" t="s">
        <v>1091</v>
      </c>
      <c r="D5" s="4" t="s">
        <v>1095</v>
      </c>
      <c r="E5" s="4" t="s">
        <v>1088</v>
      </c>
      <c r="F5" s="4" t="s">
        <v>1096</v>
      </c>
    </row>
    <row r="6" spans="1:6" ht="75">
      <c r="A6" s="3" t="s">
        <v>1064</v>
      </c>
      <c r="B6" s="4" t="s">
        <v>1097</v>
      </c>
      <c r="C6" s="4" t="s">
        <v>1091</v>
      </c>
      <c r="D6" s="4" t="s">
        <v>1098</v>
      </c>
      <c r="E6" s="4" t="s">
        <v>1099</v>
      </c>
      <c r="F6" s="5" t="s">
        <v>1100</v>
      </c>
    </row>
    <row r="7" spans="1:6" ht="60">
      <c r="A7" s="3" t="s">
        <v>1067</v>
      </c>
      <c r="B7" s="4" t="s">
        <v>1097</v>
      </c>
      <c r="C7" s="4" t="s">
        <v>1091</v>
      </c>
      <c r="D7" s="4" t="s">
        <v>1101</v>
      </c>
      <c r="E7" s="4" t="s">
        <v>1102</v>
      </c>
      <c r="F7" s="5" t="s">
        <v>1103</v>
      </c>
    </row>
    <row r="8" spans="1:6" ht="60">
      <c r="A8" s="3" t="s">
        <v>1066</v>
      </c>
      <c r="B8" s="4" t="s">
        <v>1104</v>
      </c>
      <c r="C8" s="4" t="s">
        <v>1091</v>
      </c>
      <c r="D8" s="4" t="s">
        <v>1105</v>
      </c>
      <c r="E8" s="3" t="s">
        <v>1106</v>
      </c>
      <c r="F8" s="5" t="s">
        <v>1107</v>
      </c>
    </row>
    <row r="9" spans="1:6" ht="75">
      <c r="A9" s="3" t="s">
        <v>1065</v>
      </c>
      <c r="B9" s="4" t="s">
        <v>1108</v>
      </c>
      <c r="C9" s="4" t="s">
        <v>1091</v>
      </c>
      <c r="D9" s="4" t="s">
        <v>1109</v>
      </c>
      <c r="E9" s="3" t="s">
        <v>1110</v>
      </c>
      <c r="F9" s="5" t="s">
        <v>1111</v>
      </c>
    </row>
    <row r="10" spans="1:6" ht="75">
      <c r="A10" s="3" t="s">
        <v>1068</v>
      </c>
      <c r="B10" s="4" t="s">
        <v>1112</v>
      </c>
      <c r="C10" s="4" t="s">
        <v>1091</v>
      </c>
      <c r="D10" s="4" t="s">
        <v>1113</v>
      </c>
      <c r="E10" s="3" t="s">
        <v>1114</v>
      </c>
      <c r="F10" s="4" t="s">
        <v>1115</v>
      </c>
    </row>
    <row r="11" spans="1:6" ht="45">
      <c r="A11" s="3" t="s">
        <v>1069</v>
      </c>
      <c r="B11" s="4" t="s">
        <v>1097</v>
      </c>
      <c r="C11" s="4" t="s">
        <v>1091</v>
      </c>
      <c r="D11" s="4" t="s">
        <v>1116</v>
      </c>
      <c r="E11" s="4" t="s">
        <v>1117</v>
      </c>
      <c r="F11" s="5" t="s">
        <v>1118</v>
      </c>
    </row>
    <row r="12" spans="1:6" ht="60">
      <c r="A12" s="3" t="s">
        <v>1070</v>
      </c>
      <c r="B12" s="4" t="s">
        <v>1097</v>
      </c>
      <c r="C12" s="4" t="s">
        <v>1091</v>
      </c>
      <c r="D12" s="4" t="s">
        <v>1119</v>
      </c>
      <c r="E12" s="4" t="s">
        <v>1117</v>
      </c>
      <c r="F12" s="5" t="s">
        <v>1120</v>
      </c>
    </row>
    <row r="13" spans="1:6" ht="60">
      <c r="A13" s="3" t="s">
        <v>1071</v>
      </c>
      <c r="B13" s="4" t="s">
        <v>1097</v>
      </c>
      <c r="C13" s="4" t="s">
        <v>1091</v>
      </c>
      <c r="D13" s="4" t="s">
        <v>1121</v>
      </c>
      <c r="E13" s="4" t="s">
        <v>1117</v>
      </c>
      <c r="F13" s="5" t="s">
        <v>1122</v>
      </c>
    </row>
    <row r="14" spans="1:6" ht="60">
      <c r="A14" s="3" t="s">
        <v>1072</v>
      </c>
      <c r="B14" s="4" t="s">
        <v>1097</v>
      </c>
      <c r="C14" s="4" t="s">
        <v>1091</v>
      </c>
      <c r="D14" s="4" t="s">
        <v>1123</v>
      </c>
      <c r="E14" s="4" t="s">
        <v>1117</v>
      </c>
      <c r="F14" s="5" t="s">
        <v>1124</v>
      </c>
    </row>
    <row r="15" spans="1:6" ht="45">
      <c r="A15" s="3" t="s">
        <v>1073</v>
      </c>
      <c r="B15" s="4" t="s">
        <v>1097</v>
      </c>
      <c r="C15" s="4" t="s">
        <v>1091</v>
      </c>
      <c r="D15" s="4" t="s">
        <v>1125</v>
      </c>
      <c r="E15" s="4" t="s">
        <v>1117</v>
      </c>
      <c r="F15" s="5" t="s">
        <v>1126</v>
      </c>
    </row>
    <row r="16" spans="1:6" ht="60">
      <c r="A16" s="3" t="s">
        <v>1074</v>
      </c>
      <c r="B16" s="4" t="s">
        <v>1097</v>
      </c>
      <c r="C16" s="4" t="s">
        <v>1091</v>
      </c>
      <c r="D16" s="4" t="s">
        <v>1127</v>
      </c>
      <c r="E16" s="4" t="s">
        <v>1117</v>
      </c>
      <c r="F16" s="5" t="s">
        <v>1128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E920-3880-4DA4-96BA-9AF2415EA067}">
  <dimension ref="A1:E21"/>
  <sheetViews>
    <sheetView workbookViewId="0">
      <selection activeCell="C2" sqref="C2:C21"/>
    </sheetView>
  </sheetViews>
  <sheetFormatPr baseColWidth="10" defaultRowHeight="15"/>
  <cols>
    <col min="1" max="1" width="21.5703125" customWidth="1"/>
    <col min="2" max="2" width="30.7109375" customWidth="1"/>
    <col min="3" max="3" width="15.28515625" customWidth="1"/>
    <col min="4" max="4" width="21.85546875" customWidth="1"/>
    <col min="5" max="5" width="17.140625" customWidth="1"/>
  </cols>
  <sheetData>
    <row r="1" spans="1:5">
      <c r="A1" s="19" t="s">
        <v>1075</v>
      </c>
      <c r="B1" s="19" t="s">
        <v>1078</v>
      </c>
      <c r="C1" s="20" t="s">
        <v>1134</v>
      </c>
      <c r="D1" s="19" t="s">
        <v>1135</v>
      </c>
      <c r="E1" s="19" t="s">
        <v>1136</v>
      </c>
    </row>
    <row r="2" spans="1:5">
      <c r="A2" s="21" t="s">
        <v>1061</v>
      </c>
      <c r="B2" s="21" t="s">
        <v>1083</v>
      </c>
      <c r="C2" s="22" t="s">
        <v>1137</v>
      </c>
      <c r="D2" s="21" t="s">
        <v>1138</v>
      </c>
      <c r="E2" s="21" t="s">
        <v>1139</v>
      </c>
    </row>
    <row r="3" spans="1:5" ht="25.5">
      <c r="A3" s="21" t="s">
        <v>1063</v>
      </c>
      <c r="B3" s="21" t="s">
        <v>1087</v>
      </c>
      <c r="C3" s="22" t="s">
        <v>1140</v>
      </c>
      <c r="D3" s="21" t="s">
        <v>1138</v>
      </c>
      <c r="E3" s="21" t="s">
        <v>1141</v>
      </c>
    </row>
    <row r="4" spans="1:5">
      <c r="A4" s="21" t="s">
        <v>1060</v>
      </c>
      <c r="B4" s="21" t="s">
        <v>1092</v>
      </c>
      <c r="C4" s="22" t="s">
        <v>1137</v>
      </c>
      <c r="D4" s="21" t="s">
        <v>1138</v>
      </c>
      <c r="E4" s="21" t="s">
        <v>1139</v>
      </c>
    </row>
    <row r="5" spans="1:5" ht="25.5">
      <c r="A5" s="21" t="s">
        <v>1062</v>
      </c>
      <c r="B5" s="21" t="s">
        <v>1095</v>
      </c>
      <c r="C5" s="22" t="s">
        <v>1140</v>
      </c>
      <c r="D5" s="21" t="s">
        <v>1138</v>
      </c>
      <c r="E5" s="21" t="s">
        <v>1141</v>
      </c>
    </row>
    <row r="6" spans="1:5" ht="25.5">
      <c r="A6" s="21" t="s">
        <v>1064</v>
      </c>
      <c r="B6" s="21" t="s">
        <v>1142</v>
      </c>
      <c r="C6" s="22" t="s">
        <v>1143</v>
      </c>
      <c r="D6" s="21" t="s">
        <v>1144</v>
      </c>
      <c r="E6" s="21" t="s">
        <v>1145</v>
      </c>
    </row>
    <row r="7" spans="1:5" ht="25.5">
      <c r="A7" s="21" t="s">
        <v>1067</v>
      </c>
      <c r="B7" s="21" t="s">
        <v>1146</v>
      </c>
      <c r="C7" s="22" t="s">
        <v>1143</v>
      </c>
      <c r="D7" s="21" t="s">
        <v>1144</v>
      </c>
      <c r="E7" s="21" t="s">
        <v>1145</v>
      </c>
    </row>
    <row r="8" spans="1:5" ht="38.25">
      <c r="A8" s="21" t="s">
        <v>1066</v>
      </c>
      <c r="B8" s="21" t="s">
        <v>1147</v>
      </c>
      <c r="C8" s="22" t="s">
        <v>1143</v>
      </c>
      <c r="D8" s="21" t="s">
        <v>1144</v>
      </c>
      <c r="E8" s="21" t="s">
        <v>1145</v>
      </c>
    </row>
    <row r="9" spans="1:5" ht="25.5">
      <c r="A9" s="21" t="s">
        <v>1065</v>
      </c>
      <c r="B9" s="21" t="s">
        <v>1148</v>
      </c>
      <c r="C9" s="22" t="s">
        <v>1149</v>
      </c>
      <c r="D9" s="21" t="s">
        <v>1144</v>
      </c>
      <c r="E9" s="21" t="s">
        <v>1145</v>
      </c>
    </row>
    <row r="10" spans="1:5" ht="25.5">
      <c r="A10" s="21" t="s">
        <v>1068</v>
      </c>
      <c r="B10" s="21" t="s">
        <v>1150</v>
      </c>
      <c r="C10" s="22" t="s">
        <v>1149</v>
      </c>
      <c r="D10" s="21" t="s">
        <v>1144</v>
      </c>
      <c r="E10" s="21" t="s">
        <v>1145</v>
      </c>
    </row>
    <row r="11" spans="1:5" ht="25.5">
      <c r="A11" s="21" t="s">
        <v>1069</v>
      </c>
      <c r="B11" s="21" t="s">
        <v>1151</v>
      </c>
      <c r="C11" s="22" t="s">
        <v>1143</v>
      </c>
      <c r="D11" s="21" t="s">
        <v>1152</v>
      </c>
      <c r="E11" s="21" t="s">
        <v>1145</v>
      </c>
    </row>
    <row r="12" spans="1:5" ht="25.5">
      <c r="A12" s="21" t="s">
        <v>1070</v>
      </c>
      <c r="B12" s="21" t="s">
        <v>1153</v>
      </c>
      <c r="C12" s="22" t="s">
        <v>1143</v>
      </c>
      <c r="D12" s="21" t="s">
        <v>1152</v>
      </c>
      <c r="E12" s="21" t="s">
        <v>1145</v>
      </c>
    </row>
    <row r="13" spans="1:5">
      <c r="A13" s="21" t="s">
        <v>1071</v>
      </c>
      <c r="B13" s="21" t="s">
        <v>1121</v>
      </c>
      <c r="C13" s="22" t="s">
        <v>1143</v>
      </c>
      <c r="D13" s="21" t="s">
        <v>1152</v>
      </c>
      <c r="E13" s="21" t="s">
        <v>1145</v>
      </c>
    </row>
    <row r="14" spans="1:5">
      <c r="A14" s="21" t="s">
        <v>1072</v>
      </c>
      <c r="B14" s="21" t="s">
        <v>1123</v>
      </c>
      <c r="C14" s="22" t="s">
        <v>1143</v>
      </c>
      <c r="D14" s="21" t="s">
        <v>1152</v>
      </c>
      <c r="E14" s="21" t="s">
        <v>1145</v>
      </c>
    </row>
    <row r="15" spans="1:5">
      <c r="A15" s="21" t="s">
        <v>1073</v>
      </c>
      <c r="B15" s="21" t="s">
        <v>1125</v>
      </c>
      <c r="C15" s="22" t="s">
        <v>1143</v>
      </c>
      <c r="D15" s="21" t="s">
        <v>1152</v>
      </c>
      <c r="E15" s="21" t="s">
        <v>1145</v>
      </c>
    </row>
    <row r="16" spans="1:5">
      <c r="A16" s="21" t="s">
        <v>1074</v>
      </c>
      <c r="B16" s="21" t="s">
        <v>1127</v>
      </c>
      <c r="C16" s="22" t="s">
        <v>1143</v>
      </c>
      <c r="D16" s="21" t="s">
        <v>1152</v>
      </c>
      <c r="E16" s="21" t="s">
        <v>1145</v>
      </c>
    </row>
    <row r="17" spans="1:5" ht="25.5">
      <c r="A17" s="21" t="s">
        <v>1129</v>
      </c>
      <c r="B17" s="21" t="s">
        <v>1154</v>
      </c>
      <c r="C17" s="22" t="s">
        <v>1143</v>
      </c>
      <c r="D17" s="21" t="s">
        <v>1155</v>
      </c>
      <c r="E17" s="21" t="s">
        <v>1145</v>
      </c>
    </row>
    <row r="18" spans="1:5" ht="25.5">
      <c r="A18" s="21" t="s">
        <v>1130</v>
      </c>
      <c r="B18" s="21" t="s">
        <v>1156</v>
      </c>
      <c r="C18" s="22" t="s">
        <v>1143</v>
      </c>
      <c r="D18" s="21" t="s">
        <v>1155</v>
      </c>
      <c r="E18" s="21" t="s">
        <v>1145</v>
      </c>
    </row>
    <row r="19" spans="1:5" ht="25.5">
      <c r="A19" s="21" t="s">
        <v>1131</v>
      </c>
      <c r="B19" s="21" t="s">
        <v>1157</v>
      </c>
      <c r="C19" s="22" t="s">
        <v>1143</v>
      </c>
      <c r="D19" s="21" t="s">
        <v>1155</v>
      </c>
      <c r="E19" s="21" t="s">
        <v>1145</v>
      </c>
    </row>
    <row r="20" spans="1:5" ht="38.25">
      <c r="A20" s="21" t="s">
        <v>1132</v>
      </c>
      <c r="B20" s="21" t="s">
        <v>1158</v>
      </c>
      <c r="C20" s="22" t="s">
        <v>1143</v>
      </c>
      <c r="D20" s="21" t="s">
        <v>1155</v>
      </c>
      <c r="E20" s="21" t="s">
        <v>1145</v>
      </c>
    </row>
    <row r="21" spans="1:5" ht="25.5">
      <c r="A21" s="21" t="s">
        <v>1133</v>
      </c>
      <c r="B21" s="21" t="s">
        <v>1159</v>
      </c>
      <c r="C21" s="22" t="s">
        <v>1143</v>
      </c>
      <c r="D21" s="21" t="s">
        <v>1155</v>
      </c>
      <c r="E21" s="21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Diccionario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monitoreoyseguimiento.forjar</dc:creator>
  <cp:lastModifiedBy>Erick Caicedo Ruiz</cp:lastModifiedBy>
  <dcterms:created xsi:type="dcterms:W3CDTF">2026-03-13T04:38:00Z</dcterms:created>
  <dcterms:modified xsi:type="dcterms:W3CDTF">2026-09-14T01:02:27Z</dcterms:modified>
</cp:coreProperties>
</file>